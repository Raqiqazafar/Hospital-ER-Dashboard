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Excel\Hospital Emergency Room Analysis\"/>
    </mc:Choice>
  </mc:AlternateContent>
  <xr:revisionPtr revIDLastSave="0" documentId="13_ncr:1_{1D740FB3-9B6B-460B-91D7-020E5496ACC9}" xr6:coauthVersionLast="47" xr6:coauthVersionMax="47" xr10:uidLastSave="{00000000-0000-0000-0000-000000000000}"/>
  <bookViews>
    <workbookView xWindow="-108" yWindow="-108" windowWidth="23256" windowHeight="12456" activeTab="1" xr2:uid="{E8AA91B3-2A30-4F69-8432-54A1586A7EAF}"/>
  </bookViews>
  <sheets>
    <sheet name="Pivot Report" sheetId="1" r:id="rId1"/>
    <sheet name="Dashboard" sheetId="2" r:id="rId2"/>
    <sheet name="Daily ER No. of Patient" sheetId="4" r:id="rId3"/>
    <sheet name="Average wait time daily trend" sheetId="5" r:id="rId4"/>
    <sheet name="Satisfaction score daily trend"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fdf50e2-9a07-418a-bbfb-fe41c55b18ab" name="Hospital Emergency Room Data" connection="Query - Hospital Emergency Room Data"/>
          <x15:modelTable id="Calendar_Table_ae2695c5-3c13-41a2-9f8e-c0fece72f04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1" i="1" l="1"/>
  <c r="C50" i="1"/>
  <c r="C51" i="1"/>
  <c r="B51" i="1"/>
  <c r="B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6F0800-A0BA-42BC-9580-864FE2A7057B}" name="Query - Calendar_Table" description="Connection to the 'Calendar_Table' query in the workbook." type="100" refreshedVersion="7" minRefreshableVersion="5">
    <extLst>
      <ext xmlns:x15="http://schemas.microsoft.com/office/spreadsheetml/2010/11/main" uri="{DE250136-89BD-433C-8126-D09CA5730AF9}">
        <x15:connection id="4abd5396-55bd-42b7-9556-f07c2ef1db1a"/>
      </ext>
    </extLst>
  </connection>
  <connection id="2" xr16:uid="{4A0D1507-BD59-4058-A6A9-1ADAE39932A5}"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289f9e9e-6ff1-42ca-b5a9-f765b44e77ff"/>
      </ext>
    </extLst>
  </connection>
  <connection id="3" xr16:uid="{AC7A9669-C2A5-4B52-A656-DFA046E9984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<sst xmlns="http://schemas.openxmlformats.org/spreadsheetml/2006/main" count="161" uniqueCount="78">
  <si>
    <t>Distinct Count of Patient Id</t>
  </si>
  <si>
    <t>Average of Patient Waittime</t>
  </si>
  <si>
    <t>Average of Patient Satisfaction Score</t>
  </si>
  <si>
    <t>No. of Patient</t>
  </si>
  <si>
    <t>Row Labels</t>
  </si>
  <si>
    <t>Grand Total</t>
  </si>
  <si>
    <t>.Showing a daily trend with an area sparkline to spot patterns like busy days or seasonal trends</t>
  </si>
  <si>
    <t>Daily trends of no. of patient</t>
  </si>
  <si>
    <t xml:space="preserve">Average wait time </t>
  </si>
  <si>
    <t>. Use an area chart sparkline to track daily changes and highlight days with longer wait times that might need improvements</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</si>
  <si>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</si>
  <si>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</si>
  <si>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</si>
  <si>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</si>
  <si>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</si>
  <si>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</si>
  <si>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</si>
  <si>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</si>
  <si>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</si>
  <si>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</si>
  <si>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</si>
  <si>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</si>
  <si>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</si>
  <si>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</si>
  <si>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</si>
  <si>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</si>
  <si>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</si>
  <si>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</si>
  <si>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</si>
  <si>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</si>
  <si>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</si>
  <si>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</si>
  <si>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</si>
  <si>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</si>
  <si>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</si>
  <si>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</si>
  <si>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</si>
  <si>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</si>
  <si>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</si>
  <si>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</si>
  <si>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</si>
  <si>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to show trends, spot drops in satisfaction and link them to busy times or challenges</t>
  </si>
  <si>
    <t>Satisfaction score daily trend</t>
  </si>
  <si>
    <t>Admitted</t>
  </si>
  <si>
    <t>Not Admitted</t>
  </si>
  <si>
    <t>Count of Patient Admission Flag</t>
  </si>
  <si>
    <t>Count of Patient Admission Flag2</t>
  </si>
  <si>
    <t>Admission Status</t>
  </si>
  <si>
    <t>0-09</t>
  </si>
  <si>
    <t>10-19</t>
  </si>
  <si>
    <t>20-29</t>
  </si>
  <si>
    <t>30-39</t>
  </si>
  <si>
    <t>40-49</t>
  </si>
  <si>
    <t>50-59</t>
  </si>
  <si>
    <t>60-69</t>
  </si>
  <si>
    <t>70-79</t>
  </si>
  <si>
    <t>Count of Age Group</t>
  </si>
  <si>
    <t>Age Group wise Analysis</t>
  </si>
  <si>
    <t>Delay</t>
  </si>
  <si>
    <t>Ontime</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</si>
  <si>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</si>
  <si>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</si>
  <si>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</si>
  <si>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</si>
  <si>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</si>
  <si>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</si>
  <si>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</si>
  <si>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</si>
  <si>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</si>
  <si>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</si>
  <si>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</si>
  <si>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</si>
  <si>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</si>
  <si>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</si>
  <si>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</si>
  <si>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2023</t>
  </si>
  <si>
    <t xml:space="preserve">      % Status</t>
  </si>
  <si>
    <t xml:space="preserve">     No. of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</si>
</sst>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tint="0.34998626667073579"/>
      <name val="Calibri"/>
      <family val="2"/>
      <scheme val="minor"/>
    </font>
    <font>
      <b/>
      <sz val="12"/>
      <color theme="1"/>
      <name val="Calibri"/>
      <family val="2"/>
      <scheme val="minor"/>
    </font>
    <font>
      <b/>
      <sz val="11"/>
      <color theme="1"/>
      <name val="Calibri"/>
      <family val="2"/>
      <scheme val="minor"/>
    </font>
    <font>
      <b/>
      <sz val="10"/>
      <color rgb="FF000000"/>
      <name val="Times New Roman"/>
      <family val="1"/>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NumberFormat="1"/>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2" fillId="3" borderId="0" xfId="0" applyFont="1" applyFill="1" applyAlignment="1">
      <alignment horizontal="left"/>
    </xf>
    <xf numFmtId="0" fontId="2" fillId="3" borderId="0" xfId="0" applyFont="1" applyFill="1" applyAlignment="1">
      <alignment horizontal="left" vertical="center"/>
    </xf>
    <xf numFmtId="0" fontId="0" fillId="3" borderId="0" xfId="0" applyFill="1" applyAlignment="1">
      <alignment horizontal="left" vertical="center"/>
    </xf>
    <xf numFmtId="0" fontId="3" fillId="3" borderId="0" xfId="0" applyFont="1" applyFill="1"/>
    <xf numFmtId="0" fontId="2" fillId="3" borderId="0" xfId="0" applyFont="1" applyFill="1"/>
    <xf numFmtId="1" fontId="0" fillId="0" borderId="0" xfId="0" applyNumberFormat="1"/>
    <xf numFmtId="10" fontId="0" fillId="0" borderId="0" xfId="0" applyNumberFormat="1"/>
    <xf numFmtId="0" fontId="0" fillId="4" borderId="0" xfId="0" applyFill="1"/>
    <xf numFmtId="0" fontId="0" fillId="3" borderId="0" xfId="0" applyFill="1" applyAlignment="1">
      <alignment horizontal="center"/>
    </xf>
    <xf numFmtId="9" fontId="0" fillId="3" borderId="0" xfId="0" applyNumberFormat="1" applyFill="1" applyAlignment="1">
      <alignment horizontal="center"/>
    </xf>
    <xf numFmtId="0" fontId="4" fillId="0" borderId="0" xfId="0" applyFont="1" applyAlignment="1">
      <alignment horizontal="center" vertical="center"/>
    </xf>
  </cellXfs>
  <cellStyles count="1">
    <cellStyle name="Normal" xfId="0" builtinId="0"/>
  </cellStyles>
  <dxfs count="13">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font>
        <b/>
        <color theme="1"/>
      </font>
      <border>
        <bottom style="thin">
          <color theme="5"/>
        </bottom>
        <vertical/>
        <horizontal/>
      </border>
    </dxf>
    <dxf>
      <font>
        <sz val="8"/>
        <color theme="1"/>
      </font>
      <fill>
        <patternFill patternType="solid">
          <bgColor theme="2" tint="-9.9948118533890809E-2"/>
        </patternFill>
      </fill>
      <border diagonalUp="0" diagonalDown="0">
        <left/>
        <right/>
        <top/>
        <bottom/>
        <vertical/>
        <horizontal/>
      </border>
    </dxf>
  </dxfs>
  <tableStyles count="1" defaultTableStyle="TableStyleMedium2" defaultPivotStyle="PivotStyleLight16">
    <tableStyle name="MY STYLE" pivot="0" table="0" count="10" xr9:uid="{239EC4E0-8CFF-4C77-8B2D-0AF49013F533}">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3416372522400247E-2"/>
              <c:y val="-5.101906904494076E-2"/>
            </c:manualLayout>
          </c:layout>
          <c:tx>
            <c:rich>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A34FB7DE-9A3B-499E-8D25-9883BA374DD1}" type="CELLRANGE">
                  <a:rPr lang="en-US"/>
                  <a:pPr>
                    <a:defRPr sz="700"/>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7413793103448278"/>
                  <c:h val="0.31717820986662382"/>
                </c:manualLayout>
              </c15:layout>
              <c15:dlblFieldTable/>
              <c15:showDataLabelsRange val="1"/>
            </c:ext>
          </c:extLst>
        </c:dLbl>
      </c:pivotFmt>
      <c:pivotFmt>
        <c:idx val="3"/>
        <c:spPr>
          <a:solidFill>
            <a:schemeClr val="accent1"/>
          </a:solidFill>
          <a:ln>
            <a:noFill/>
          </a:ln>
          <a:effectLst/>
        </c:spPr>
        <c:dLbl>
          <c:idx val="0"/>
          <c:layout>
            <c:manualLayout>
              <c:x val="2.8268395329894058E-2"/>
              <c:y val="-6.8027210884353831E-2"/>
            </c:manualLayout>
          </c:layout>
          <c:tx>
            <c:rich>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8AB3CF71-7179-4DE7-B792-11033C8F4485}" type="CELLRANGE">
                  <a:rPr lang="en-US"/>
                  <a:pPr>
                    <a:defRPr sz="700"/>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7413793103448278"/>
                  <c:h val="0.28316460442444691"/>
                </c:manualLayout>
              </c15:layout>
              <c15:dlblFieldTable/>
              <c15:showDataLabelsRange val="1"/>
            </c:ext>
          </c:extLst>
        </c:dLbl>
      </c:pivotFmt>
    </c:pivotFmts>
    <c:plotArea>
      <c:layout>
        <c:manualLayout>
          <c:layoutTarget val="inner"/>
          <c:xMode val="edge"/>
          <c:yMode val="edge"/>
          <c:x val="8.1025432165806849E-2"/>
          <c:y val="0.14742085810702232"/>
          <c:w val="0.88393063918480763"/>
          <c:h val="0.83958969414537465"/>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86A6-4221-8121-C98DC8D8F46E}"/>
              </c:ext>
            </c:extLst>
          </c:dPt>
          <c:dPt>
            <c:idx val="1"/>
            <c:invertIfNegative val="0"/>
            <c:bubble3D val="0"/>
            <c:extLst>
              <c:ext xmlns:c16="http://schemas.microsoft.com/office/drawing/2014/chart" uri="{C3380CC4-5D6E-409C-BE32-E72D297353CC}">
                <c16:uniqueId val="{00000003-86A6-4221-8121-C98DC8D8F46E}"/>
              </c:ext>
            </c:extLst>
          </c:dPt>
          <c:dLbls>
            <c:dLbl>
              <c:idx val="0"/>
              <c:layout>
                <c:manualLayout>
                  <c:x val="2.8268395329894058E-2"/>
                  <c:y val="-6.8027210884353831E-2"/>
                </c:manualLayout>
              </c:layout>
              <c:tx>
                <c:rich>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8AB3CF71-7179-4DE7-B792-11033C8F4485}" type="CELLRANGE">
                      <a:rPr lang="en-US"/>
                      <a:pPr>
                        <a:defRPr sz="700"/>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7413793103448278"/>
                      <c:h val="0.28316460442444691"/>
                    </c:manualLayout>
                  </c15:layout>
                  <c15:dlblFieldTable/>
                  <c15:showDataLabelsRange val="1"/>
                </c:ext>
                <c:ext xmlns:c16="http://schemas.microsoft.com/office/drawing/2014/chart" uri="{C3380CC4-5D6E-409C-BE32-E72D297353CC}">
                  <c16:uniqueId val="{00000004-86A6-4221-8121-C98DC8D8F46E}"/>
                </c:ext>
              </c:extLst>
            </c:dLbl>
            <c:dLbl>
              <c:idx val="1"/>
              <c:layout>
                <c:manualLayout>
                  <c:x val="6.3416372522400247E-2"/>
                  <c:y val="-5.101906904494076E-2"/>
                </c:manualLayout>
              </c:layout>
              <c:tx>
                <c:rich>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fld id="{A34FB7DE-9A3B-499E-8D25-9883BA374DD1}" type="CELLRANGE">
                      <a:rPr lang="en-US"/>
                      <a:pPr>
                        <a:defRPr sz="700"/>
                      </a:pPr>
                      <a:t>[CELLRANGE]</a:t>
                    </a:fld>
                    <a:endParaRPr lang="en-US"/>
                  </a:p>
                </c:rich>
              </c:tx>
              <c:spPr>
                <a:noFill/>
                <a:ln>
                  <a:noFill/>
                </a:ln>
                <a:effectLst/>
              </c:spPr>
              <c:txPr>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7413793103448278"/>
                      <c:h val="0.31717820986662382"/>
                    </c:manualLayout>
                  </c15:layout>
                  <c15:dlblFieldTable/>
                  <c15:showDataLabelsRange val="1"/>
                </c:ext>
                <c:ext xmlns:c16="http://schemas.microsoft.com/office/drawing/2014/chart" uri="{C3380CC4-5D6E-409C-BE32-E72D297353CC}">
                  <c16:uniqueId val="{00000003-86A6-4221-8121-C98DC8D8F46E}"/>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Report'!$C$41:$C$42</c:f>
              <c:strCache>
                <c:ptCount val="2"/>
                <c:pt idx="0">
                  <c:v>Admitted</c:v>
                </c:pt>
                <c:pt idx="1">
                  <c:v>Not Admitted</c:v>
                </c:pt>
              </c:strCache>
            </c:strRef>
          </c:cat>
          <c:val>
            <c:numRef>
              <c:f>'Pivot Report'!$C$41:$C$42</c:f>
              <c:numCache>
                <c:formatCode>0</c:formatCode>
                <c:ptCount val="2"/>
                <c:pt idx="0">
                  <c:v>236</c:v>
                </c:pt>
                <c:pt idx="1">
                  <c:v>228</c:v>
                </c:pt>
              </c:numCache>
            </c:numRef>
          </c:val>
          <c:extLst>
            <c:ext xmlns:c15="http://schemas.microsoft.com/office/drawing/2012/chart" uri="{02D57815-91ED-43cb-92C2-25804820EDAC}">
              <c15:datalabelsRange>
                <c15:f>'Pivot Report'!$C$41:$C$42</c15:f>
                <c15:dlblRangeCache>
                  <c:ptCount val="2"/>
                  <c:pt idx="0">
                    <c:v>50.86%</c:v>
                  </c:pt>
                  <c:pt idx="1">
                    <c:v>49.14%</c:v>
                  </c:pt>
                </c15:dlblRangeCache>
              </c15:datalabelsRange>
            </c:ext>
            <c:ext xmlns:c16="http://schemas.microsoft.com/office/drawing/2014/chart" uri="{C3380CC4-5D6E-409C-BE32-E72D297353CC}">
              <c16:uniqueId val="{00000000-86A6-4221-8121-C98DC8D8F46E}"/>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0.50862068965517238</c:v>
                </c:pt>
                <c:pt idx="1">
                  <c:v>0.49137931034482757</c:v>
                </c:pt>
              </c:numCache>
            </c:numRef>
          </c:val>
          <c:extLst>
            <c:ext xmlns:c16="http://schemas.microsoft.com/office/drawing/2014/chart" uri="{C3380CC4-5D6E-409C-BE32-E72D297353CC}">
              <c16:uniqueId val="{00000001-86A6-4221-8121-C98DC8D8F46E}"/>
            </c:ext>
          </c:extLst>
        </c:ser>
        <c:dLbls>
          <c:showLegendKey val="0"/>
          <c:showVal val="0"/>
          <c:showCatName val="0"/>
          <c:showSerName val="0"/>
          <c:showPercent val="0"/>
          <c:showBubbleSize val="0"/>
        </c:dLbls>
        <c:gapWidth val="0"/>
        <c:axId val="1752333311"/>
        <c:axId val="1752332063"/>
      </c:barChart>
      <c:catAx>
        <c:axId val="1752333311"/>
        <c:scaling>
          <c:orientation val="minMax"/>
        </c:scaling>
        <c:delete val="1"/>
        <c:axPos val="l"/>
        <c:numFmt formatCode="General" sourceLinked="1"/>
        <c:majorTickMark val="none"/>
        <c:minorTickMark val="none"/>
        <c:tickLblPos val="nextTo"/>
        <c:crossAx val="1752332063"/>
        <c:crosses val="autoZero"/>
        <c:auto val="1"/>
        <c:lblAlgn val="ctr"/>
        <c:lblOffset val="100"/>
        <c:noMultiLvlLbl val="0"/>
      </c:catAx>
      <c:valAx>
        <c:axId val="1752332063"/>
        <c:scaling>
          <c:orientation val="minMax"/>
        </c:scaling>
        <c:delete val="1"/>
        <c:axPos val="b"/>
        <c:numFmt formatCode="0" sourceLinked="1"/>
        <c:majorTickMark val="none"/>
        <c:minorTickMark val="none"/>
        <c:tickLblPos val="nextTo"/>
        <c:crossAx val="175233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9423461897771"/>
          <c:y val="0.37940379403794039"/>
          <c:w val="0.89010576538102237"/>
          <c:h val="0.47154471544715443"/>
        </c:manualLayout>
      </c:layout>
      <c:areaChart>
        <c:grouping val="standard"/>
        <c:varyColors val="0"/>
        <c:ser>
          <c:idx val="0"/>
          <c:order val="0"/>
          <c:tx>
            <c:strRef>
              <c:f>'Pivot Report'!$C$4</c:f>
              <c:strCache>
                <c:ptCount val="1"/>
                <c:pt idx="0">
                  <c:v>Total</c:v>
                </c:pt>
              </c:strCache>
            </c:strRef>
          </c:tx>
          <c:spPr>
            <a:solidFill>
              <a:schemeClr val="accent1"/>
            </a:solidFill>
            <a:ln>
              <a:noFill/>
            </a:ln>
            <a:effectLst/>
          </c:spPr>
          <c:cat>
            <c:strRef>
              <c:f>'Pivot Report'!$B$5:$B$36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Report'!$C$5:$C$36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6B47-4024-BB87-9ECAD6CDF01D}"/>
            </c:ext>
          </c:extLst>
        </c:ser>
        <c:dLbls>
          <c:showLegendKey val="0"/>
          <c:showVal val="0"/>
          <c:showCatName val="0"/>
          <c:showSerName val="0"/>
          <c:showPercent val="0"/>
          <c:showBubbleSize val="0"/>
        </c:dLbls>
        <c:axId val="516796464"/>
        <c:axId val="516796880"/>
      </c:areaChart>
      <c:catAx>
        <c:axId val="516796464"/>
        <c:scaling>
          <c:orientation val="minMax"/>
        </c:scaling>
        <c:delete val="1"/>
        <c:axPos val="b"/>
        <c:numFmt formatCode="General" sourceLinked="1"/>
        <c:majorTickMark val="out"/>
        <c:minorTickMark val="none"/>
        <c:tickLblPos val="nextTo"/>
        <c:crossAx val="516796880"/>
        <c:crosses val="autoZero"/>
        <c:auto val="1"/>
        <c:lblAlgn val="ctr"/>
        <c:lblOffset val="100"/>
        <c:noMultiLvlLbl val="0"/>
      </c:catAx>
      <c:valAx>
        <c:axId val="516796880"/>
        <c:scaling>
          <c:orientation val="minMax"/>
        </c:scaling>
        <c:delete val="1"/>
        <c:axPos val="l"/>
        <c:numFmt formatCode="General" sourceLinked="1"/>
        <c:majorTickMark val="none"/>
        <c:minorTickMark val="none"/>
        <c:tickLblPos val="nextTo"/>
        <c:crossAx val="5167964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37537537537537E-3"/>
          <c:y val="8.4713336614173212E-2"/>
          <c:w val="0.9924924924924925"/>
          <c:h val="0.89418881233595804"/>
        </c:manualLayout>
      </c:layout>
      <c:areaChart>
        <c:grouping val="standard"/>
        <c:varyColors val="0"/>
        <c:ser>
          <c:idx val="0"/>
          <c:order val="0"/>
          <c:tx>
            <c:strRef>
              <c:f>'Pivot Report'!$F$6</c:f>
              <c:strCache>
                <c:ptCount val="1"/>
                <c:pt idx="0">
                  <c:v>Total</c:v>
                </c:pt>
              </c:strCache>
            </c:strRef>
          </c:tx>
          <c:spPr>
            <a:solidFill>
              <a:schemeClr val="accent1"/>
            </a:solidFill>
            <a:ln>
              <a:noFill/>
            </a:ln>
            <a:effectLst/>
          </c:spPr>
          <c:cat>
            <c:strRef>
              <c:f>'Pivot Report'!$E$7:$E$38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Report'!$F$7:$F$38</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B339-46EE-BEE9-DA7AAD62FA5D}"/>
            </c:ext>
          </c:extLst>
        </c:ser>
        <c:dLbls>
          <c:showLegendKey val="0"/>
          <c:showVal val="0"/>
          <c:showCatName val="0"/>
          <c:showSerName val="0"/>
          <c:showPercent val="0"/>
          <c:showBubbleSize val="0"/>
        </c:dLbls>
        <c:axId val="1585865279"/>
        <c:axId val="1585867775"/>
      </c:areaChart>
      <c:catAx>
        <c:axId val="1585865279"/>
        <c:scaling>
          <c:orientation val="minMax"/>
        </c:scaling>
        <c:delete val="1"/>
        <c:axPos val="b"/>
        <c:numFmt formatCode="General" sourceLinked="1"/>
        <c:majorTickMark val="out"/>
        <c:minorTickMark val="none"/>
        <c:tickLblPos val="nextTo"/>
        <c:crossAx val="1585867775"/>
        <c:crosses val="autoZero"/>
        <c:auto val="1"/>
        <c:lblAlgn val="ctr"/>
        <c:lblOffset val="100"/>
        <c:noMultiLvlLbl val="0"/>
      </c:catAx>
      <c:valAx>
        <c:axId val="1585867775"/>
        <c:scaling>
          <c:orientation val="minMax"/>
        </c:scaling>
        <c:delete val="1"/>
        <c:axPos val="l"/>
        <c:numFmt formatCode="0.00" sourceLinked="1"/>
        <c:majorTickMark val="none"/>
        <c:minorTickMark val="none"/>
        <c:tickLblPos val="nextTo"/>
        <c:crossAx val="15858652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729153121914804E-2"/>
          <c:y val="4.9157862804837839E-2"/>
          <c:w val="0.9882708468780852"/>
          <c:h val="0.94423483522892981"/>
        </c:manualLayout>
      </c:layout>
      <c:areaChart>
        <c:grouping val="standard"/>
        <c:varyColors val="0"/>
        <c:ser>
          <c:idx val="0"/>
          <c:order val="0"/>
          <c:tx>
            <c:strRef>
              <c:f>'Pivot Report'!$I$6</c:f>
              <c:strCache>
                <c:ptCount val="1"/>
                <c:pt idx="0">
                  <c:v>Total</c:v>
                </c:pt>
              </c:strCache>
            </c:strRef>
          </c:tx>
          <c:spPr>
            <a:solidFill>
              <a:schemeClr val="accent1"/>
            </a:solidFill>
            <a:ln>
              <a:noFill/>
            </a:ln>
            <a:effectLst/>
          </c:spPr>
          <c:cat>
            <c:strRef>
              <c:f>'Pivot Report'!$H$7:$H$38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Report'!$I$7:$I$38</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0-4BFD-4B3D-8D88-82836E1F04B2}"/>
            </c:ext>
          </c:extLst>
        </c:ser>
        <c:dLbls>
          <c:showLegendKey val="0"/>
          <c:showVal val="0"/>
          <c:showCatName val="0"/>
          <c:showSerName val="0"/>
          <c:showPercent val="0"/>
          <c:showBubbleSize val="0"/>
        </c:dLbls>
        <c:axId val="1659156207"/>
        <c:axId val="1659167855"/>
      </c:areaChart>
      <c:catAx>
        <c:axId val="1659156207"/>
        <c:scaling>
          <c:orientation val="minMax"/>
        </c:scaling>
        <c:delete val="1"/>
        <c:axPos val="b"/>
        <c:numFmt formatCode="General" sourceLinked="1"/>
        <c:majorTickMark val="out"/>
        <c:minorTickMark val="none"/>
        <c:tickLblPos val="nextTo"/>
        <c:crossAx val="1659167855"/>
        <c:crosses val="autoZero"/>
        <c:auto val="1"/>
        <c:lblAlgn val="ctr"/>
        <c:lblOffset val="100"/>
        <c:noMultiLvlLbl val="0"/>
      </c:catAx>
      <c:valAx>
        <c:axId val="1659167855"/>
        <c:scaling>
          <c:orientation val="minMax"/>
        </c:scaling>
        <c:delete val="1"/>
        <c:axPos val="l"/>
        <c:numFmt formatCode="0.00" sourceLinked="1"/>
        <c:majorTickMark val="none"/>
        <c:minorTickMark val="none"/>
        <c:tickLblPos val="nextTo"/>
        <c:crossAx val="16591562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Report!PivotTable9</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71391076115485E-2"/>
          <c:y val="9.4975530402449687E-2"/>
          <c:w val="0.94225721784776906"/>
          <c:h val="0.71549650043744528"/>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0-EF1E-4F16-B5BC-C5B9607348B1}"/>
            </c:ext>
          </c:extLst>
        </c:ser>
        <c:dLbls>
          <c:showLegendKey val="0"/>
          <c:showVal val="0"/>
          <c:showCatName val="0"/>
          <c:showSerName val="0"/>
          <c:showPercent val="0"/>
          <c:showBubbleSize val="0"/>
        </c:dLbls>
        <c:gapWidth val="219"/>
        <c:overlap val="-27"/>
        <c:axId val="1659168687"/>
        <c:axId val="1659162447"/>
      </c:barChart>
      <c:catAx>
        <c:axId val="165916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62447"/>
        <c:crosses val="autoZero"/>
        <c:auto val="1"/>
        <c:lblAlgn val="ctr"/>
        <c:lblOffset val="100"/>
        <c:noMultiLvlLbl val="0"/>
      </c:catAx>
      <c:valAx>
        <c:axId val="1659162447"/>
        <c:scaling>
          <c:orientation val="minMax"/>
        </c:scaling>
        <c:delete val="1"/>
        <c:axPos val="l"/>
        <c:numFmt formatCode="0" sourceLinked="1"/>
        <c:majorTickMark val="none"/>
        <c:minorTickMark val="none"/>
        <c:tickLblPos val="nextTo"/>
        <c:crossAx val="165916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Report!PivotTable10</c:name>
    <c:fmtId val="5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5882458829814414"/>
          <c:y val="0.14697478573472156"/>
          <c:w val="0.67769841822869481"/>
          <c:h val="0.72587603089898123"/>
        </c:manualLayout>
      </c:layout>
      <c:pie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7943-4337-AEC1-7BCA137E747A}"/>
              </c:ext>
            </c:extLst>
          </c:dPt>
          <c:dPt>
            <c:idx val="1"/>
            <c:bubble3D val="0"/>
            <c:spPr>
              <a:solidFill>
                <a:schemeClr val="accent2"/>
              </a:solidFill>
              <a:ln>
                <a:noFill/>
              </a:ln>
              <a:effectLst/>
            </c:spPr>
            <c:extLst>
              <c:ext xmlns:c16="http://schemas.microsoft.com/office/drawing/2014/chart" uri="{C3380CC4-5D6E-409C-BE32-E72D297353CC}">
                <c16:uniqueId val="{00000003-7943-4337-AEC1-7BCA137E74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267</c:v>
                </c:pt>
                <c:pt idx="1">
                  <c:v>197</c:v>
                </c:pt>
              </c:numCache>
            </c:numRef>
          </c:val>
          <c:extLst>
            <c:ext xmlns:c16="http://schemas.microsoft.com/office/drawing/2014/chart" uri="{C3380CC4-5D6E-409C-BE32-E72D297353CC}">
              <c16:uniqueId val="{00000004-7943-4337-AEC1-7BCA137E747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7791210833159133E-2"/>
          <c:y val="1.5971315196974787E-2"/>
          <c:w val="0.84056458500882159"/>
          <c:h val="0.1040224335165651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Report!PivotTable11</c:name>
    <c:fmtId val="6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492483894058696"/>
          <c:y val="0.13438255242847116"/>
          <c:w val="0.67764505771729977"/>
          <c:h val="0.69106377173150368"/>
        </c:manualLayout>
      </c:layout>
      <c:doughnutChart>
        <c:varyColors val="1"/>
        <c:ser>
          <c:idx val="0"/>
          <c:order val="0"/>
          <c:tx>
            <c:strRef>
              <c:f>'Pivot Report'!$B$75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53A9-40B9-8A4F-16FCE839B847}"/>
              </c:ext>
            </c:extLst>
          </c:dPt>
          <c:dPt>
            <c:idx val="1"/>
            <c:bubble3D val="0"/>
            <c:spPr>
              <a:solidFill>
                <a:schemeClr val="accent2"/>
              </a:solidFill>
              <a:ln>
                <a:noFill/>
              </a:ln>
              <a:effectLst/>
            </c:spPr>
            <c:extLst>
              <c:ext xmlns:c16="http://schemas.microsoft.com/office/drawing/2014/chart" uri="{C3380CC4-5D6E-409C-BE32-E72D297353CC}">
                <c16:uniqueId val="{00000003-53A9-40B9-8A4F-16FCE839B847}"/>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c:formatCode>
                <c:ptCount val="2"/>
                <c:pt idx="0">
                  <c:v>228</c:v>
                </c:pt>
                <c:pt idx="1">
                  <c:v>236</c:v>
                </c:pt>
              </c:numCache>
            </c:numRef>
          </c:val>
          <c:extLst>
            <c:ext xmlns:c16="http://schemas.microsoft.com/office/drawing/2014/chart" uri="{C3380CC4-5D6E-409C-BE32-E72D297353CC}">
              <c16:uniqueId val="{00000004-53A9-40B9-8A4F-16FCE839B847}"/>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7.713048106748889E-2"/>
          <c:y val="2.7127589267168926E-2"/>
          <c:w val="0.81797441403740612"/>
          <c:h val="0.1184066919692592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Report!PivotTable12</c:name>
    <c:fmtId val="6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16477107028291"/>
          <c:y val="3.1347962382445138E-2"/>
          <c:w val="0.70790930300379129"/>
          <c:h val="0.88505747126436785"/>
        </c:manualLayout>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Report'!$B$83:$B$91</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0-38C0-4661-BABD-959B438CAD08}"/>
            </c:ext>
          </c:extLst>
        </c:ser>
        <c:dLbls>
          <c:showLegendKey val="0"/>
          <c:showVal val="0"/>
          <c:showCatName val="0"/>
          <c:showSerName val="0"/>
          <c:showPercent val="0"/>
          <c:showBubbleSize val="0"/>
        </c:dLbls>
        <c:gapWidth val="59"/>
        <c:axId val="1591859071"/>
        <c:axId val="1591854495"/>
      </c:barChart>
      <c:catAx>
        <c:axId val="159185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91854495"/>
        <c:crosses val="autoZero"/>
        <c:auto val="1"/>
        <c:lblAlgn val="ctr"/>
        <c:lblOffset val="100"/>
        <c:noMultiLvlLbl val="0"/>
      </c:catAx>
      <c:valAx>
        <c:axId val="1591854495"/>
        <c:scaling>
          <c:orientation val="minMax"/>
        </c:scaling>
        <c:delete val="1"/>
        <c:axPos val="b"/>
        <c:numFmt formatCode="0" sourceLinked="1"/>
        <c:majorTickMark val="none"/>
        <c:minorTickMark val="none"/>
        <c:tickLblPos val="nextTo"/>
        <c:crossAx val="159185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32960893854747E-2"/>
          <c:y val="0.23255813953488372"/>
          <c:w val="0.89757914338919931"/>
          <c:h val="0.39797452644000897"/>
        </c:manualLayout>
      </c:layout>
      <c:areaChart>
        <c:grouping val="standard"/>
        <c:varyColors val="0"/>
        <c:ser>
          <c:idx val="0"/>
          <c:order val="0"/>
          <c:tx>
            <c:strRef>
              <c:f>'Pivot Report'!$C$4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Report'!$B$5:$B$36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Report'!$C$5:$C$36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8EBA-4CBD-A7B5-2980A50E77B4}"/>
            </c:ext>
          </c:extLst>
        </c:ser>
        <c:dLbls>
          <c:showLegendKey val="0"/>
          <c:showVal val="0"/>
          <c:showCatName val="0"/>
          <c:showSerName val="0"/>
          <c:showPercent val="0"/>
          <c:showBubbleSize val="0"/>
        </c:dLbls>
        <c:axId val="516796464"/>
        <c:axId val="516796880"/>
      </c:areaChart>
      <c:catAx>
        <c:axId val="51679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516796880"/>
        <c:crosses val="autoZero"/>
        <c:auto val="1"/>
        <c:lblAlgn val="ctr"/>
        <c:lblOffset val="100"/>
        <c:noMultiLvlLbl val="0"/>
      </c:catAx>
      <c:valAx>
        <c:axId val="516796880"/>
        <c:scaling>
          <c:orientation val="minMax"/>
        </c:scaling>
        <c:delete val="1"/>
        <c:axPos val="l"/>
        <c:numFmt formatCode="General" sourceLinked="1"/>
        <c:majorTickMark val="none"/>
        <c:minorTickMark val="none"/>
        <c:tickLblPos val="nextTo"/>
        <c:crossAx val="51679646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39968174709869E-2"/>
          <c:y val="8.4713394259452512E-2"/>
          <c:w val="0.95067228639103041"/>
          <c:h val="0.70744790184359485"/>
        </c:manualLayout>
      </c:layout>
      <c:areaChart>
        <c:grouping val="standard"/>
        <c:varyColors val="0"/>
        <c:ser>
          <c:idx val="0"/>
          <c:order val="0"/>
          <c:tx>
            <c:strRef>
              <c:f>'Pivot Report'!$F$6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Report'!$E$7:$E$38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Report'!$F$7:$F$38</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DFD7-488B-9844-10C14058769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85865279"/>
        <c:axId val="1585867775"/>
      </c:areaChart>
      <c:catAx>
        <c:axId val="15858652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585867775"/>
        <c:crosses val="autoZero"/>
        <c:auto val="1"/>
        <c:lblAlgn val="ctr"/>
        <c:lblOffset val="100"/>
        <c:noMultiLvlLbl val="0"/>
      </c:catAx>
      <c:valAx>
        <c:axId val="1585867775"/>
        <c:scaling>
          <c:orientation val="minMax"/>
        </c:scaling>
        <c:delete val="1"/>
        <c:axPos val="l"/>
        <c:numFmt formatCode="0.00" sourceLinked="1"/>
        <c:majorTickMark val="out"/>
        <c:minorTickMark val="none"/>
        <c:tickLblPos val="nextTo"/>
        <c:crossAx val="15858652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ER.xlsx]Pivot Report!PivotTable6</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64610093499587E-2"/>
          <c:y val="3.7037037037037035E-2"/>
          <c:w val="0.94884720974864878"/>
          <c:h val="0.83451178451178454"/>
        </c:manualLayout>
      </c:layout>
      <c:areaChart>
        <c:grouping val="standard"/>
        <c:varyColors val="0"/>
        <c:ser>
          <c:idx val="0"/>
          <c:order val="0"/>
          <c:tx>
            <c:strRef>
              <c:f>'Pivot Report'!$I$6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Report'!$H$7:$H$38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Report'!$I$7:$I$38</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0-EF57-409C-B9A7-724D8C1482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59156207"/>
        <c:axId val="1659167855"/>
      </c:areaChart>
      <c:catAx>
        <c:axId val="16591562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659167855"/>
        <c:crosses val="autoZero"/>
        <c:auto val="1"/>
        <c:lblAlgn val="ctr"/>
        <c:lblOffset val="100"/>
        <c:noMultiLvlLbl val="0"/>
      </c:catAx>
      <c:valAx>
        <c:axId val="1659167855"/>
        <c:scaling>
          <c:orientation val="minMax"/>
        </c:scaling>
        <c:delete val="1"/>
        <c:axPos val="l"/>
        <c:numFmt formatCode="0.00" sourceLinked="1"/>
        <c:majorTickMark val="out"/>
        <c:minorTickMark val="none"/>
        <c:tickLblPos val="nextTo"/>
        <c:crossAx val="16591562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45720</xdr:colOff>
      <xdr:row>48</xdr:row>
      <xdr:rowOff>175260</xdr:rowOff>
    </xdr:from>
    <xdr:to>
      <xdr:col>4</xdr:col>
      <xdr:colOff>388620</xdr:colOff>
      <xdr:row>50</xdr:row>
      <xdr:rowOff>167640</xdr:rowOff>
    </xdr:to>
    <xdr:graphicFrame macro="">
      <xdr:nvGraphicFramePr>
        <xdr:cNvPr id="4" name="Chart 3">
          <a:extLst>
            <a:ext uri="{FF2B5EF4-FFF2-40B4-BE49-F238E27FC236}">
              <a16:creationId xmlns:a16="http://schemas.microsoft.com/office/drawing/2014/main" id="{11B7F3BC-9508-47C0-B3F2-B3660A7AE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0</xdr:row>
      <xdr:rowOff>60960</xdr:rowOff>
    </xdr:from>
    <xdr:to>
      <xdr:col>7</xdr:col>
      <xdr:colOff>160020</xdr:colOff>
      <xdr:row>3</xdr:row>
      <xdr:rowOff>68580</xdr:rowOff>
    </xdr:to>
    <xdr:sp macro="" textlink="">
      <xdr:nvSpPr>
        <xdr:cNvPr id="2" name="Rectangle: Rounded Corners 1">
          <a:extLst>
            <a:ext uri="{FF2B5EF4-FFF2-40B4-BE49-F238E27FC236}">
              <a16:creationId xmlns:a16="http://schemas.microsoft.com/office/drawing/2014/main" id="{8668D9E0-FB52-4D6D-A043-1A1311C11FC0}"/>
            </a:ext>
          </a:extLst>
        </xdr:cNvPr>
        <xdr:cNvSpPr/>
      </xdr:nvSpPr>
      <xdr:spPr>
        <a:xfrm>
          <a:off x="160020" y="60960"/>
          <a:ext cx="4267200" cy="55626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220980</xdr:colOff>
      <xdr:row>0</xdr:row>
      <xdr:rowOff>76200</xdr:rowOff>
    </xdr:from>
    <xdr:to>
      <xdr:col>10</xdr:col>
      <xdr:colOff>68580</xdr:colOff>
      <xdr:row>3</xdr:row>
      <xdr:rowOff>83820</xdr:rowOff>
    </xdr:to>
    <xdr:sp macro="" textlink="">
      <xdr:nvSpPr>
        <xdr:cNvPr id="3" name="Rectangle: Rounded Corners 2">
          <a:extLst>
            <a:ext uri="{FF2B5EF4-FFF2-40B4-BE49-F238E27FC236}">
              <a16:creationId xmlns:a16="http://schemas.microsoft.com/office/drawing/2014/main" id="{B796B934-A90A-45A6-BC86-81C5A8DBD246}"/>
            </a:ext>
          </a:extLst>
        </xdr:cNvPr>
        <xdr:cNvSpPr/>
      </xdr:nvSpPr>
      <xdr:spPr>
        <a:xfrm>
          <a:off x="4488180" y="76200"/>
          <a:ext cx="1676400" cy="55626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144780</xdr:colOff>
      <xdr:row>0</xdr:row>
      <xdr:rowOff>83820</xdr:rowOff>
    </xdr:from>
    <xdr:to>
      <xdr:col>13</xdr:col>
      <xdr:colOff>53340</xdr:colOff>
      <xdr:row>9</xdr:row>
      <xdr:rowOff>38100</xdr:rowOff>
    </xdr:to>
    <xdr:sp macro="" textlink="">
      <xdr:nvSpPr>
        <xdr:cNvPr id="4" name="Rectangle: Rounded Corners 3">
          <a:extLst>
            <a:ext uri="{FF2B5EF4-FFF2-40B4-BE49-F238E27FC236}">
              <a16:creationId xmlns:a16="http://schemas.microsoft.com/office/drawing/2014/main" id="{6ADDC538-F2DE-472B-ADF9-04B53D5082A9}"/>
            </a:ext>
          </a:extLst>
        </xdr:cNvPr>
        <xdr:cNvSpPr/>
      </xdr:nvSpPr>
      <xdr:spPr>
        <a:xfrm>
          <a:off x="6240780" y="83820"/>
          <a:ext cx="1737360" cy="1600200"/>
        </a:xfrm>
        <a:prstGeom prst="roundRect">
          <a:avLst>
            <a:gd name="adj" fmla="val 6191"/>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129540</xdr:colOff>
      <xdr:row>0</xdr:row>
      <xdr:rowOff>68580</xdr:rowOff>
    </xdr:from>
    <xdr:to>
      <xdr:col>16</xdr:col>
      <xdr:colOff>7620</xdr:colOff>
      <xdr:row>9</xdr:row>
      <xdr:rowOff>22860</xdr:rowOff>
    </xdr:to>
    <xdr:sp macro="" textlink="">
      <xdr:nvSpPr>
        <xdr:cNvPr id="5" name="Rectangle: Rounded Corners 4">
          <a:extLst>
            <a:ext uri="{FF2B5EF4-FFF2-40B4-BE49-F238E27FC236}">
              <a16:creationId xmlns:a16="http://schemas.microsoft.com/office/drawing/2014/main" id="{A421F775-CECE-42C2-A6BA-C6CA68F5320F}"/>
            </a:ext>
          </a:extLst>
        </xdr:cNvPr>
        <xdr:cNvSpPr/>
      </xdr:nvSpPr>
      <xdr:spPr>
        <a:xfrm>
          <a:off x="8054340" y="68580"/>
          <a:ext cx="1706880" cy="1600200"/>
        </a:xfrm>
        <a:prstGeom prst="roundRect">
          <a:avLst>
            <a:gd name="adj" fmla="val 714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144780</xdr:colOff>
      <xdr:row>4</xdr:row>
      <xdr:rowOff>45720</xdr:rowOff>
    </xdr:from>
    <xdr:to>
      <xdr:col>1</xdr:col>
      <xdr:colOff>472440</xdr:colOff>
      <xdr:row>22</xdr:row>
      <xdr:rowOff>167640</xdr:rowOff>
    </xdr:to>
    <xdr:sp macro="" textlink="">
      <xdr:nvSpPr>
        <xdr:cNvPr id="6" name="Rectangle: Rounded Corners 5">
          <a:extLst>
            <a:ext uri="{FF2B5EF4-FFF2-40B4-BE49-F238E27FC236}">
              <a16:creationId xmlns:a16="http://schemas.microsoft.com/office/drawing/2014/main" id="{5E576EA9-D65E-4289-A2D0-3DA9C4E9A3DB}"/>
            </a:ext>
          </a:extLst>
        </xdr:cNvPr>
        <xdr:cNvSpPr/>
      </xdr:nvSpPr>
      <xdr:spPr>
        <a:xfrm>
          <a:off x="144780" y="777240"/>
          <a:ext cx="937260" cy="3413760"/>
        </a:xfrm>
        <a:prstGeom prst="roundRect">
          <a:avLst>
            <a:gd name="adj" fmla="val 54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586740</xdr:colOff>
      <xdr:row>4</xdr:row>
      <xdr:rowOff>38100</xdr:rowOff>
    </xdr:from>
    <xdr:to>
      <xdr:col>4</xdr:col>
      <xdr:colOff>359079</xdr:colOff>
      <xdr:row>9</xdr:row>
      <xdr:rowOff>76200</xdr:rowOff>
    </xdr:to>
    <xdr:sp macro="" textlink="">
      <xdr:nvSpPr>
        <xdr:cNvPr id="7" name="Rectangle: Rounded Corners 6">
          <a:extLst>
            <a:ext uri="{FF2B5EF4-FFF2-40B4-BE49-F238E27FC236}">
              <a16:creationId xmlns:a16="http://schemas.microsoft.com/office/drawing/2014/main" id="{7E59332B-9F2A-4971-BB3F-41336D427CAC}"/>
            </a:ext>
          </a:extLst>
        </xdr:cNvPr>
        <xdr:cNvSpPr/>
      </xdr:nvSpPr>
      <xdr:spPr>
        <a:xfrm>
          <a:off x="1196340" y="769620"/>
          <a:ext cx="1601139" cy="952500"/>
        </a:xfrm>
        <a:prstGeom prst="roundRect">
          <a:avLst>
            <a:gd name="adj" fmla="val 54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437795</xdr:colOff>
      <xdr:row>4</xdr:row>
      <xdr:rowOff>38100</xdr:rowOff>
    </xdr:from>
    <xdr:to>
      <xdr:col>7</xdr:col>
      <xdr:colOff>210134</xdr:colOff>
      <xdr:row>9</xdr:row>
      <xdr:rowOff>76200</xdr:rowOff>
    </xdr:to>
    <xdr:sp macro="" textlink="">
      <xdr:nvSpPr>
        <xdr:cNvPr id="8" name="Rectangle: Rounded Corners 7">
          <a:extLst>
            <a:ext uri="{FF2B5EF4-FFF2-40B4-BE49-F238E27FC236}">
              <a16:creationId xmlns:a16="http://schemas.microsoft.com/office/drawing/2014/main" id="{42D80BF1-BD94-45EF-8995-68B832E0BF6F}"/>
            </a:ext>
          </a:extLst>
        </xdr:cNvPr>
        <xdr:cNvSpPr/>
      </xdr:nvSpPr>
      <xdr:spPr>
        <a:xfrm>
          <a:off x="2876195" y="769620"/>
          <a:ext cx="1601139" cy="952500"/>
        </a:xfrm>
        <a:prstGeom prst="roundRect">
          <a:avLst>
            <a:gd name="adj" fmla="val 54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288621</xdr:colOff>
      <xdr:row>4</xdr:row>
      <xdr:rowOff>30480</xdr:rowOff>
    </xdr:from>
    <xdr:to>
      <xdr:col>10</xdr:col>
      <xdr:colOff>60960</xdr:colOff>
      <xdr:row>9</xdr:row>
      <xdr:rowOff>68580</xdr:rowOff>
    </xdr:to>
    <xdr:sp macro="" textlink="">
      <xdr:nvSpPr>
        <xdr:cNvPr id="9" name="Rectangle: Rounded Corners 8">
          <a:extLst>
            <a:ext uri="{FF2B5EF4-FFF2-40B4-BE49-F238E27FC236}">
              <a16:creationId xmlns:a16="http://schemas.microsoft.com/office/drawing/2014/main" id="{9FB8A4D8-C781-4682-A8FF-7DADAF8A121D}"/>
            </a:ext>
          </a:extLst>
        </xdr:cNvPr>
        <xdr:cNvSpPr/>
      </xdr:nvSpPr>
      <xdr:spPr>
        <a:xfrm>
          <a:off x="4555821" y="762000"/>
          <a:ext cx="1601139" cy="952500"/>
        </a:xfrm>
        <a:prstGeom prst="roundRect">
          <a:avLst>
            <a:gd name="adj" fmla="val 54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541020</xdr:colOff>
      <xdr:row>13</xdr:row>
      <xdr:rowOff>76200</xdr:rowOff>
    </xdr:from>
    <xdr:to>
      <xdr:col>10</xdr:col>
      <xdr:colOff>30480</xdr:colOff>
      <xdr:row>23</xdr:row>
      <xdr:rowOff>0</xdr:rowOff>
    </xdr:to>
    <xdr:sp macro="" textlink="">
      <xdr:nvSpPr>
        <xdr:cNvPr id="11" name="Rectangle: Rounded Corners 10">
          <a:extLst>
            <a:ext uri="{FF2B5EF4-FFF2-40B4-BE49-F238E27FC236}">
              <a16:creationId xmlns:a16="http://schemas.microsoft.com/office/drawing/2014/main" id="{6F513F14-1C07-41F2-AC93-687F52480726}"/>
            </a:ext>
          </a:extLst>
        </xdr:cNvPr>
        <xdr:cNvSpPr/>
      </xdr:nvSpPr>
      <xdr:spPr>
        <a:xfrm>
          <a:off x="1150620" y="2453640"/>
          <a:ext cx="4975860" cy="1752600"/>
        </a:xfrm>
        <a:prstGeom prst="roundRect">
          <a:avLst>
            <a:gd name="adj" fmla="val 54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129540</xdr:colOff>
      <xdr:row>9</xdr:row>
      <xdr:rowOff>106680</xdr:rowOff>
    </xdr:from>
    <xdr:to>
      <xdr:col>16</xdr:col>
      <xdr:colOff>7620</xdr:colOff>
      <xdr:row>23</xdr:row>
      <xdr:rowOff>15240</xdr:rowOff>
    </xdr:to>
    <xdr:sp macro="" textlink="">
      <xdr:nvSpPr>
        <xdr:cNvPr id="22" name="Rectangle: Rounded Corners 21">
          <a:extLst>
            <a:ext uri="{FF2B5EF4-FFF2-40B4-BE49-F238E27FC236}">
              <a16:creationId xmlns:a16="http://schemas.microsoft.com/office/drawing/2014/main" id="{3FA85DF2-F847-4155-B641-6742DFB28DF5}"/>
            </a:ext>
          </a:extLst>
        </xdr:cNvPr>
        <xdr:cNvSpPr/>
      </xdr:nvSpPr>
      <xdr:spPr>
        <a:xfrm>
          <a:off x="6225540" y="1752600"/>
          <a:ext cx="3535680" cy="2468880"/>
        </a:xfrm>
        <a:prstGeom prst="roundRect">
          <a:avLst>
            <a:gd name="adj" fmla="val 714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533400</xdr:colOff>
      <xdr:row>0</xdr:row>
      <xdr:rowOff>137160</xdr:rowOff>
    </xdr:from>
    <xdr:to>
      <xdr:col>6</xdr:col>
      <xdr:colOff>121920</xdr:colOff>
      <xdr:row>2</xdr:row>
      <xdr:rowOff>0</xdr:rowOff>
    </xdr:to>
    <xdr:sp macro="" textlink="">
      <xdr:nvSpPr>
        <xdr:cNvPr id="23" name="TextBox 22">
          <a:extLst>
            <a:ext uri="{FF2B5EF4-FFF2-40B4-BE49-F238E27FC236}">
              <a16:creationId xmlns:a16="http://schemas.microsoft.com/office/drawing/2014/main" id="{C96F891F-9A90-4F1B-9E03-84B2E3DA672E}"/>
            </a:ext>
          </a:extLst>
        </xdr:cNvPr>
        <xdr:cNvSpPr txBox="1"/>
      </xdr:nvSpPr>
      <xdr:spPr>
        <a:xfrm>
          <a:off x="1143000" y="137160"/>
          <a:ext cx="26365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latin typeface="Times New Roman" panose="02020603050405020304" pitchFamily="18" charset="0"/>
              <a:cs typeface="Times New Roman" panose="02020603050405020304" pitchFamily="18" charset="0"/>
            </a:rPr>
            <a:t>Hospital Emergency Room</a:t>
          </a:r>
          <a:r>
            <a:rPr lang="en-US" sz="1200" b="1" baseline="0">
              <a:latin typeface="Times New Roman" panose="02020603050405020304" pitchFamily="18" charset="0"/>
              <a:cs typeface="Times New Roman" panose="02020603050405020304" pitchFamily="18" charset="0"/>
            </a:rPr>
            <a:t> Dashboard</a:t>
          </a:r>
          <a:endParaRPr lang="en-US" sz="1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236220</xdr:colOff>
      <xdr:row>0</xdr:row>
      <xdr:rowOff>0</xdr:rowOff>
    </xdr:from>
    <xdr:to>
      <xdr:col>1</xdr:col>
      <xdr:colOff>548640</xdr:colOff>
      <xdr:row>2</xdr:row>
      <xdr:rowOff>175260</xdr:rowOff>
    </xdr:to>
    <xdr:pic>
      <xdr:nvPicPr>
        <xdr:cNvPr id="27" name="Picture 26">
          <a:extLst>
            <a:ext uri="{FF2B5EF4-FFF2-40B4-BE49-F238E27FC236}">
              <a16:creationId xmlns:a16="http://schemas.microsoft.com/office/drawing/2014/main" id="{B393E602-2E04-429F-B9BA-2F86C996926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604" t="-4504" r="3604" b="12902"/>
        <a:stretch/>
      </xdr:blipFill>
      <xdr:spPr>
        <a:xfrm>
          <a:off x="236220" y="0"/>
          <a:ext cx="922020" cy="541020"/>
        </a:xfrm>
        <a:prstGeom prst="rect">
          <a:avLst/>
        </a:prstGeom>
      </xdr:spPr>
    </xdr:pic>
    <xdr:clientData/>
  </xdr:twoCellAnchor>
  <xdr:twoCellAnchor editAs="absolute">
    <xdr:from>
      <xdr:col>2</xdr:col>
      <xdr:colOff>487680</xdr:colOff>
      <xdr:row>2</xdr:row>
      <xdr:rowOff>22860</xdr:rowOff>
    </xdr:from>
    <xdr:to>
      <xdr:col>4</xdr:col>
      <xdr:colOff>579120</xdr:colOff>
      <xdr:row>3</xdr:row>
      <xdr:rowOff>30480</xdr:rowOff>
    </xdr:to>
    <xdr:sp macro="" textlink="">
      <xdr:nvSpPr>
        <xdr:cNvPr id="28" name="TextBox 27">
          <a:extLst>
            <a:ext uri="{FF2B5EF4-FFF2-40B4-BE49-F238E27FC236}">
              <a16:creationId xmlns:a16="http://schemas.microsoft.com/office/drawing/2014/main" id="{43F358AD-ED79-4B4B-915E-4D369987E200}"/>
            </a:ext>
          </a:extLst>
        </xdr:cNvPr>
        <xdr:cNvSpPr txBox="1"/>
      </xdr:nvSpPr>
      <xdr:spPr>
        <a:xfrm>
          <a:off x="1706880" y="388620"/>
          <a:ext cx="13106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latin typeface="Times New Roman" panose="02020603050405020304" pitchFamily="18" charset="0"/>
              <a:cs typeface="Times New Roman" panose="02020603050405020304" pitchFamily="18" charset="0"/>
            </a:rPr>
            <a:t>Monthly</a:t>
          </a:r>
          <a:r>
            <a:rPr lang="en-US" sz="1000" b="1" baseline="0">
              <a:latin typeface="Times New Roman" panose="02020603050405020304" pitchFamily="18" charset="0"/>
              <a:cs typeface="Times New Roman" panose="02020603050405020304" pitchFamily="18" charset="0"/>
            </a:rPr>
            <a:t> Report</a:t>
          </a:r>
          <a:endParaRPr lang="en-US" sz="1000" b="1">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571500</xdr:colOff>
      <xdr:row>5</xdr:row>
      <xdr:rowOff>175260</xdr:rowOff>
    </xdr:from>
    <xdr:to>
      <xdr:col>4</xdr:col>
      <xdr:colOff>342900</xdr:colOff>
      <xdr:row>6</xdr:row>
      <xdr:rowOff>160020</xdr:rowOff>
    </xdr:to>
    <xdr:sp macro="" textlink="">
      <xdr:nvSpPr>
        <xdr:cNvPr id="29" name="TextBox 28">
          <a:extLst>
            <a:ext uri="{FF2B5EF4-FFF2-40B4-BE49-F238E27FC236}">
              <a16:creationId xmlns:a16="http://schemas.microsoft.com/office/drawing/2014/main" id="{5FAED7B9-700A-4E1A-BBC3-4467083EEC33}"/>
            </a:ext>
          </a:extLst>
        </xdr:cNvPr>
        <xdr:cNvSpPr txBox="1"/>
      </xdr:nvSpPr>
      <xdr:spPr>
        <a:xfrm>
          <a:off x="1181100" y="1089660"/>
          <a:ext cx="16002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latin typeface="Times New Roman" panose="02020603050405020304" pitchFamily="18" charset="0"/>
              <a:cs typeface="Times New Roman" panose="02020603050405020304" pitchFamily="18" charset="0"/>
            </a:rPr>
            <a:t>No.</a:t>
          </a:r>
          <a:r>
            <a:rPr lang="en-US" sz="1000" b="1" baseline="0">
              <a:latin typeface="Times New Roman" panose="02020603050405020304" pitchFamily="18" charset="0"/>
              <a:cs typeface="Times New Roman" panose="02020603050405020304" pitchFamily="18" charset="0"/>
            </a:rPr>
            <a:t> of Patient</a:t>
          </a:r>
          <a:endParaRPr lang="en-US" sz="1000" b="1">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556260</xdr:colOff>
      <xdr:row>4</xdr:row>
      <xdr:rowOff>160020</xdr:rowOff>
    </xdr:from>
    <xdr:to>
      <xdr:col>4</xdr:col>
      <xdr:colOff>327660</xdr:colOff>
      <xdr:row>5</xdr:row>
      <xdr:rowOff>144780</xdr:rowOff>
    </xdr:to>
    <xdr:sp macro="" textlink="'Pivot Report'!A5">
      <xdr:nvSpPr>
        <xdr:cNvPr id="30" name="TextBox 29">
          <a:extLst>
            <a:ext uri="{FF2B5EF4-FFF2-40B4-BE49-F238E27FC236}">
              <a16:creationId xmlns:a16="http://schemas.microsoft.com/office/drawing/2014/main" id="{1ADA376C-97E6-438F-B1CE-D89D8AEFF913}"/>
            </a:ext>
          </a:extLst>
        </xdr:cNvPr>
        <xdr:cNvSpPr txBox="1"/>
      </xdr:nvSpPr>
      <xdr:spPr>
        <a:xfrm>
          <a:off x="1165860" y="891540"/>
          <a:ext cx="16002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3136E12-3667-4A56-A640-DD818476E3D6}" type="TxLink">
            <a:rPr lang="en-US" sz="1100" b="0" i="0" u="none" strike="noStrike">
              <a:solidFill>
                <a:srgbClr val="000000"/>
              </a:solidFill>
              <a:latin typeface="Calibri"/>
              <a:ea typeface="Calibri"/>
              <a:cs typeface="Calibri"/>
            </a:rPr>
            <a:pPr algn="ctr"/>
            <a:t>464</a:t>
          </a:fld>
          <a:endParaRPr lang="en-US"/>
        </a:p>
      </xdr:txBody>
    </xdr:sp>
    <xdr:clientData/>
  </xdr:twoCellAnchor>
  <xdr:twoCellAnchor editAs="absolute">
    <xdr:from>
      <xdr:col>4</xdr:col>
      <xdr:colOff>426720</xdr:colOff>
      <xdr:row>5</xdr:row>
      <xdr:rowOff>137160</xdr:rowOff>
    </xdr:from>
    <xdr:to>
      <xdr:col>7</xdr:col>
      <xdr:colOff>198120</xdr:colOff>
      <xdr:row>6</xdr:row>
      <xdr:rowOff>121920</xdr:rowOff>
    </xdr:to>
    <xdr:sp macro="" textlink="">
      <xdr:nvSpPr>
        <xdr:cNvPr id="31" name="TextBox 30">
          <a:extLst>
            <a:ext uri="{FF2B5EF4-FFF2-40B4-BE49-F238E27FC236}">
              <a16:creationId xmlns:a16="http://schemas.microsoft.com/office/drawing/2014/main" id="{E51ED4B6-3782-40ED-A356-99ABBA874275}"/>
            </a:ext>
          </a:extLst>
        </xdr:cNvPr>
        <xdr:cNvSpPr txBox="1"/>
      </xdr:nvSpPr>
      <xdr:spPr>
        <a:xfrm>
          <a:off x="2865120" y="1051560"/>
          <a:ext cx="16002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latin typeface="Times New Roman" panose="02020603050405020304" pitchFamily="18" charset="0"/>
              <a:cs typeface="Times New Roman" panose="02020603050405020304" pitchFamily="18" charset="0"/>
            </a:rPr>
            <a:t>Average</a:t>
          </a:r>
          <a:r>
            <a:rPr lang="en-US" sz="1000" b="1" baseline="0">
              <a:latin typeface="Times New Roman" panose="02020603050405020304" pitchFamily="18" charset="0"/>
              <a:cs typeface="Times New Roman" panose="02020603050405020304" pitchFamily="18" charset="0"/>
            </a:rPr>
            <a:t> Wait Time</a:t>
          </a:r>
          <a:endParaRPr lang="en-US" sz="1000" b="1">
            <a:latin typeface="Times New Roman" panose="02020603050405020304" pitchFamily="18" charset="0"/>
            <a:cs typeface="Times New Roman" panose="02020603050405020304" pitchFamily="18" charset="0"/>
          </a:endParaRPr>
        </a:p>
      </xdr:txBody>
    </xdr:sp>
    <xdr:clientData/>
  </xdr:twoCellAnchor>
  <xdr:twoCellAnchor editAs="absolute">
    <xdr:from>
      <xdr:col>4</xdr:col>
      <xdr:colOff>426720</xdr:colOff>
      <xdr:row>4</xdr:row>
      <xdr:rowOff>137160</xdr:rowOff>
    </xdr:from>
    <xdr:to>
      <xdr:col>7</xdr:col>
      <xdr:colOff>198120</xdr:colOff>
      <xdr:row>5</xdr:row>
      <xdr:rowOff>121920</xdr:rowOff>
    </xdr:to>
    <xdr:sp macro="" textlink="'Pivot Report'!A10">
      <xdr:nvSpPr>
        <xdr:cNvPr id="32" name="TextBox 31">
          <a:extLst>
            <a:ext uri="{FF2B5EF4-FFF2-40B4-BE49-F238E27FC236}">
              <a16:creationId xmlns:a16="http://schemas.microsoft.com/office/drawing/2014/main" id="{6EC52530-1B59-408D-9463-F9F6585A6842}"/>
            </a:ext>
          </a:extLst>
        </xdr:cNvPr>
        <xdr:cNvSpPr txBox="1"/>
      </xdr:nvSpPr>
      <xdr:spPr>
        <a:xfrm>
          <a:off x="2865120" y="868680"/>
          <a:ext cx="16002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3414A5-FFAF-476C-96C7-5A4F33EB579A}" type="TxLink">
            <a:rPr lang="en-US" sz="1100" b="0" i="0" u="none" strike="noStrike">
              <a:solidFill>
                <a:srgbClr val="000000"/>
              </a:solidFill>
              <a:latin typeface="Calibri"/>
              <a:ea typeface="Calibri"/>
              <a:cs typeface="Calibri"/>
            </a:rPr>
            <a:pPr algn="ctr"/>
            <a:t>34.72</a:t>
          </a:fld>
          <a:endParaRPr lang="en-US"/>
        </a:p>
      </xdr:txBody>
    </xdr:sp>
    <xdr:clientData/>
  </xdr:twoCellAnchor>
  <xdr:twoCellAnchor editAs="absolute">
    <xdr:from>
      <xdr:col>7</xdr:col>
      <xdr:colOff>304800</xdr:colOff>
      <xdr:row>6</xdr:row>
      <xdr:rowOff>22860</xdr:rowOff>
    </xdr:from>
    <xdr:to>
      <xdr:col>10</xdr:col>
      <xdr:colOff>60960</xdr:colOff>
      <xdr:row>7</xdr:row>
      <xdr:rowOff>68580</xdr:rowOff>
    </xdr:to>
    <xdr:sp macro="" textlink="">
      <xdr:nvSpPr>
        <xdr:cNvPr id="33" name="TextBox 32">
          <a:extLst>
            <a:ext uri="{FF2B5EF4-FFF2-40B4-BE49-F238E27FC236}">
              <a16:creationId xmlns:a16="http://schemas.microsoft.com/office/drawing/2014/main" id="{9078D4F8-B3E3-4305-BA68-E56CEB0E40EC}"/>
            </a:ext>
          </a:extLst>
        </xdr:cNvPr>
        <xdr:cNvSpPr txBox="1"/>
      </xdr:nvSpPr>
      <xdr:spPr>
        <a:xfrm>
          <a:off x="4572000" y="1120140"/>
          <a:ext cx="15849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latin typeface="Times New Roman" panose="02020603050405020304" pitchFamily="18" charset="0"/>
              <a:cs typeface="Times New Roman" panose="02020603050405020304" pitchFamily="18" charset="0"/>
            </a:rPr>
            <a:t>Patient Satisfaction</a:t>
          </a:r>
          <a:r>
            <a:rPr lang="en-US" sz="1000" b="1" baseline="0">
              <a:latin typeface="Times New Roman" panose="02020603050405020304" pitchFamily="18" charset="0"/>
              <a:cs typeface="Times New Roman" panose="02020603050405020304" pitchFamily="18" charset="0"/>
            </a:rPr>
            <a:t> Score</a:t>
          </a:r>
          <a:endParaRPr lang="en-US" sz="1000" b="1">
            <a:latin typeface="Times New Roman" panose="02020603050405020304" pitchFamily="18" charset="0"/>
            <a:cs typeface="Times New Roman" panose="02020603050405020304" pitchFamily="18" charset="0"/>
          </a:endParaRPr>
        </a:p>
      </xdr:txBody>
    </xdr:sp>
    <xdr:clientData/>
  </xdr:twoCellAnchor>
  <xdr:twoCellAnchor editAs="absolute">
    <xdr:from>
      <xdr:col>7</xdr:col>
      <xdr:colOff>243840</xdr:colOff>
      <xdr:row>5</xdr:row>
      <xdr:rowOff>0</xdr:rowOff>
    </xdr:from>
    <xdr:to>
      <xdr:col>10</xdr:col>
      <xdr:colOff>0</xdr:colOff>
      <xdr:row>6</xdr:row>
      <xdr:rowOff>7620</xdr:rowOff>
    </xdr:to>
    <xdr:sp macro="" textlink="'Pivot Report'!A14">
      <xdr:nvSpPr>
        <xdr:cNvPr id="34" name="TextBox 33">
          <a:extLst>
            <a:ext uri="{FF2B5EF4-FFF2-40B4-BE49-F238E27FC236}">
              <a16:creationId xmlns:a16="http://schemas.microsoft.com/office/drawing/2014/main" id="{04DF8D2B-4C56-4C57-B019-00CC000CAA8B}"/>
            </a:ext>
          </a:extLst>
        </xdr:cNvPr>
        <xdr:cNvSpPr txBox="1"/>
      </xdr:nvSpPr>
      <xdr:spPr>
        <a:xfrm>
          <a:off x="4511040" y="914400"/>
          <a:ext cx="15849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690A1D4-0097-42B8-99BA-C0EBCE0B282A}" type="TxLink">
            <a:rPr lang="en-US" sz="1100" b="0" i="0" u="none" strike="noStrike">
              <a:solidFill>
                <a:srgbClr val="000000"/>
              </a:solidFill>
              <a:latin typeface="Calibri"/>
              <a:ea typeface="Calibri"/>
              <a:cs typeface="Calibri"/>
            </a:rPr>
            <a:pPr algn="ctr"/>
            <a:t>4.99</a:t>
          </a:fld>
          <a:endParaRPr lang="en-US"/>
        </a:p>
      </xdr:txBody>
    </xdr:sp>
    <xdr:clientData/>
  </xdr:twoCellAnchor>
  <xdr:twoCellAnchor editAs="oneCell">
    <xdr:from>
      <xdr:col>4</xdr:col>
      <xdr:colOff>76200</xdr:colOff>
      <xdr:row>4</xdr:row>
      <xdr:rowOff>22860</xdr:rowOff>
    </xdr:from>
    <xdr:to>
      <xdr:col>4</xdr:col>
      <xdr:colOff>403860</xdr:colOff>
      <xdr:row>5</xdr:row>
      <xdr:rowOff>167640</xdr:rowOff>
    </xdr:to>
    <xdr:pic>
      <xdr:nvPicPr>
        <xdr:cNvPr id="36" name="Graphic 35" descr="User with solid fill">
          <a:extLst>
            <a:ext uri="{FF2B5EF4-FFF2-40B4-BE49-F238E27FC236}">
              <a16:creationId xmlns:a16="http://schemas.microsoft.com/office/drawing/2014/main" id="{D928BB3D-0952-499C-86AD-8B28FFBD94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514600" y="754380"/>
          <a:ext cx="327660" cy="327660"/>
        </a:xfrm>
        <a:prstGeom prst="rect">
          <a:avLst/>
        </a:prstGeom>
      </xdr:spPr>
    </xdr:pic>
    <xdr:clientData/>
  </xdr:twoCellAnchor>
  <xdr:twoCellAnchor editAs="oneCell">
    <xdr:from>
      <xdr:col>9</xdr:col>
      <xdr:colOff>396240</xdr:colOff>
      <xdr:row>4</xdr:row>
      <xdr:rowOff>22860</xdr:rowOff>
    </xdr:from>
    <xdr:to>
      <xdr:col>10</xdr:col>
      <xdr:colOff>76200</xdr:colOff>
      <xdr:row>5</xdr:row>
      <xdr:rowOff>129540</xdr:rowOff>
    </xdr:to>
    <xdr:pic>
      <xdr:nvPicPr>
        <xdr:cNvPr id="38" name="Graphic 37" descr="Customer review with solid fill">
          <a:extLst>
            <a:ext uri="{FF2B5EF4-FFF2-40B4-BE49-F238E27FC236}">
              <a16:creationId xmlns:a16="http://schemas.microsoft.com/office/drawing/2014/main" id="{97E938DC-EEE6-4174-9F21-13FE43FA1BD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882640" y="754380"/>
          <a:ext cx="289560" cy="289560"/>
        </a:xfrm>
        <a:prstGeom prst="rect">
          <a:avLst/>
        </a:prstGeom>
      </xdr:spPr>
    </xdr:pic>
    <xdr:clientData/>
  </xdr:twoCellAnchor>
  <xdr:twoCellAnchor editAs="oneCell">
    <xdr:from>
      <xdr:col>6</xdr:col>
      <xdr:colOff>586740</xdr:colOff>
      <xdr:row>4</xdr:row>
      <xdr:rowOff>38100</xdr:rowOff>
    </xdr:from>
    <xdr:to>
      <xdr:col>7</xdr:col>
      <xdr:colOff>259080</xdr:colOff>
      <xdr:row>5</xdr:row>
      <xdr:rowOff>137160</xdr:rowOff>
    </xdr:to>
    <xdr:pic>
      <xdr:nvPicPr>
        <xdr:cNvPr id="40" name="Graphic 39" descr="Hourglass Finished with solid fill">
          <a:extLst>
            <a:ext uri="{FF2B5EF4-FFF2-40B4-BE49-F238E27FC236}">
              <a16:creationId xmlns:a16="http://schemas.microsoft.com/office/drawing/2014/main" id="{57529163-7C2E-497C-914D-0E3554763A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244340" y="769620"/>
          <a:ext cx="281940" cy="281940"/>
        </a:xfrm>
        <a:prstGeom prst="rect">
          <a:avLst/>
        </a:prstGeom>
      </xdr:spPr>
    </xdr:pic>
    <xdr:clientData/>
  </xdr:twoCellAnchor>
  <xdr:twoCellAnchor editAs="oneCell">
    <xdr:from>
      <xdr:col>0</xdr:col>
      <xdr:colOff>137160</xdr:colOff>
      <xdr:row>4</xdr:row>
      <xdr:rowOff>45720</xdr:rowOff>
    </xdr:from>
    <xdr:to>
      <xdr:col>1</xdr:col>
      <xdr:colOff>472440</xdr:colOff>
      <xdr:row>22</xdr:row>
      <xdr:rowOff>175260</xdr:rowOff>
    </xdr:to>
    <mc:AlternateContent xmlns:mc="http://schemas.openxmlformats.org/markup-compatibility/2006" xmlns:a14="http://schemas.microsoft.com/office/drawing/2010/main">
      <mc:Choice Requires="a14">
        <xdr:graphicFrame macro="">
          <xdr:nvGraphicFramePr>
            <xdr:cNvPr id="41" name="Date (Month)">
              <a:extLst>
                <a:ext uri="{FF2B5EF4-FFF2-40B4-BE49-F238E27FC236}">
                  <a16:creationId xmlns:a16="http://schemas.microsoft.com/office/drawing/2014/main" id="{DE0D23C4-2763-4C7E-90CF-90C11DB83F2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7160" y="777240"/>
              <a:ext cx="944880" cy="3520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388620</xdr:colOff>
      <xdr:row>5</xdr:row>
      <xdr:rowOff>30480</xdr:rowOff>
    </xdr:from>
    <xdr:to>
      <xdr:col>4</xdr:col>
      <xdr:colOff>358140</xdr:colOff>
      <xdr:row>10</xdr:row>
      <xdr:rowOff>53340</xdr:rowOff>
    </xdr:to>
    <xdr:graphicFrame macro="">
      <xdr:nvGraphicFramePr>
        <xdr:cNvPr id="43" name="Chart 42">
          <a:hlinkClick xmlns:r="http://schemas.openxmlformats.org/officeDocument/2006/relationships" r:id="rId8"/>
          <a:extLst>
            <a:ext uri="{FF2B5EF4-FFF2-40B4-BE49-F238E27FC236}">
              <a16:creationId xmlns:a16="http://schemas.microsoft.com/office/drawing/2014/main" id="{41D0F300-AB78-49A6-922B-C7995E342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426720</xdr:colOff>
      <xdr:row>7</xdr:row>
      <xdr:rowOff>30480</xdr:rowOff>
    </xdr:from>
    <xdr:to>
      <xdr:col>7</xdr:col>
      <xdr:colOff>220980</xdr:colOff>
      <xdr:row>9</xdr:row>
      <xdr:rowOff>83820</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D2C575BB-8651-4949-B9E1-70471DB3E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274320</xdr:colOff>
      <xdr:row>7</xdr:row>
      <xdr:rowOff>0</xdr:rowOff>
    </xdr:from>
    <xdr:to>
      <xdr:col>10</xdr:col>
      <xdr:colOff>60960</xdr:colOff>
      <xdr:row>9</xdr:row>
      <xdr:rowOff>68580</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5F13B9C3-9FBE-4062-8785-6E105EA98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579120</xdr:colOff>
          <xdr:row>9</xdr:row>
          <xdr:rowOff>152400</xdr:rowOff>
        </xdr:from>
        <xdr:to>
          <xdr:col>10</xdr:col>
          <xdr:colOff>38100</xdr:colOff>
          <xdr:row>13</xdr:row>
          <xdr:rowOff>0</xdr:rowOff>
        </xdr:to>
        <xdr:pic>
          <xdr:nvPicPr>
            <xdr:cNvPr id="51" name="Picture 50">
              <a:extLst>
                <a:ext uri="{FF2B5EF4-FFF2-40B4-BE49-F238E27FC236}">
                  <a16:creationId xmlns:a16="http://schemas.microsoft.com/office/drawing/2014/main" id="{29857DED-D68E-4D95-9F54-784D0A173820}"/>
                </a:ext>
              </a:extLst>
            </xdr:cNvPr>
            <xdr:cNvPicPr>
              <a:picLocks noChangeAspect="1" noChangeArrowheads="1"/>
              <a:extLst>
                <a:ext uri="{84589F7E-364E-4C9E-8A38-B11213B215E9}">
                  <a14:cameraTool cellRange="'Pivot Report'!$A$49:$E$51" spid="_x0000_s1035"/>
                </a:ext>
              </a:extLst>
            </xdr:cNvPicPr>
          </xdr:nvPicPr>
          <xdr:blipFill>
            <a:blip xmlns:r="http://schemas.openxmlformats.org/officeDocument/2006/relationships" r:embed="rId14"/>
            <a:srcRect/>
            <a:stretch>
              <a:fillRect/>
            </a:stretch>
          </xdr:blipFill>
          <xdr:spPr bwMode="auto">
            <a:xfrm>
              <a:off x="1188720" y="1798320"/>
              <a:ext cx="4945380" cy="579120"/>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541020</xdr:colOff>
      <xdr:row>13</xdr:row>
      <xdr:rowOff>167640</xdr:rowOff>
    </xdr:from>
    <xdr:to>
      <xdr:col>9</xdr:col>
      <xdr:colOff>419100</xdr:colOff>
      <xdr:row>21</xdr:row>
      <xdr:rowOff>106680</xdr:rowOff>
    </xdr:to>
    <xdr:graphicFrame macro="">
      <xdr:nvGraphicFramePr>
        <xdr:cNvPr id="53" name="Chart 52">
          <a:extLst>
            <a:ext uri="{FF2B5EF4-FFF2-40B4-BE49-F238E27FC236}">
              <a16:creationId xmlns:a16="http://schemas.microsoft.com/office/drawing/2014/main" id="{3ABD7067-9A09-4DD4-B49D-DD31A8C8E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274320</xdr:colOff>
      <xdr:row>21</xdr:row>
      <xdr:rowOff>121920</xdr:rowOff>
    </xdr:from>
    <xdr:to>
      <xdr:col>7</xdr:col>
      <xdr:colOff>45720</xdr:colOff>
      <xdr:row>22</xdr:row>
      <xdr:rowOff>106680</xdr:rowOff>
    </xdr:to>
    <xdr:sp macro="" textlink="">
      <xdr:nvSpPr>
        <xdr:cNvPr id="54" name="TextBox 53">
          <a:extLst>
            <a:ext uri="{FF2B5EF4-FFF2-40B4-BE49-F238E27FC236}">
              <a16:creationId xmlns:a16="http://schemas.microsoft.com/office/drawing/2014/main" id="{F96F9409-303A-4DCD-9D78-2FEA580308C8}"/>
            </a:ext>
          </a:extLst>
        </xdr:cNvPr>
        <xdr:cNvSpPr txBox="1"/>
      </xdr:nvSpPr>
      <xdr:spPr>
        <a:xfrm>
          <a:off x="2712720" y="3962400"/>
          <a:ext cx="16002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latin typeface="Times New Roman" panose="02020603050405020304" pitchFamily="18" charset="0"/>
              <a:cs typeface="Times New Roman" panose="02020603050405020304" pitchFamily="18" charset="0"/>
            </a:rPr>
            <a:t>No.</a:t>
          </a:r>
          <a:r>
            <a:rPr lang="en-US" sz="1000" b="1" baseline="0">
              <a:latin typeface="Times New Roman" panose="02020603050405020304" pitchFamily="18" charset="0"/>
              <a:cs typeface="Times New Roman" panose="02020603050405020304" pitchFamily="18" charset="0"/>
            </a:rPr>
            <a:t> of Patient by Age Group</a:t>
          </a:r>
          <a:endParaRPr lang="en-US" sz="1000" b="1">
            <a:latin typeface="Times New Roman" panose="02020603050405020304" pitchFamily="18" charset="0"/>
            <a:cs typeface="Times New Roman" panose="02020603050405020304" pitchFamily="18" charset="0"/>
          </a:endParaRPr>
        </a:p>
      </xdr:txBody>
    </xdr:sp>
    <xdr:clientData/>
  </xdr:twoCellAnchor>
  <xdr:twoCellAnchor>
    <xdr:from>
      <xdr:col>10</xdr:col>
      <xdr:colOff>129540</xdr:colOff>
      <xdr:row>0</xdr:row>
      <xdr:rowOff>45720</xdr:rowOff>
    </xdr:from>
    <xdr:to>
      <xdr:col>13</xdr:col>
      <xdr:colOff>22860</xdr:colOff>
      <xdr:row>9</xdr:row>
      <xdr:rowOff>7620</xdr:rowOff>
    </xdr:to>
    <xdr:graphicFrame macro="">
      <xdr:nvGraphicFramePr>
        <xdr:cNvPr id="55" name="Chart 54">
          <a:extLst>
            <a:ext uri="{FF2B5EF4-FFF2-40B4-BE49-F238E27FC236}">
              <a16:creationId xmlns:a16="http://schemas.microsoft.com/office/drawing/2014/main" id="{BB7C5612-BDDB-401D-AE7F-D1F677FA9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236220</xdr:colOff>
      <xdr:row>8</xdr:row>
      <xdr:rowOff>30480</xdr:rowOff>
    </xdr:from>
    <xdr:to>
      <xdr:col>13</xdr:col>
      <xdr:colOff>7620</xdr:colOff>
      <xdr:row>9</xdr:row>
      <xdr:rowOff>15240</xdr:rowOff>
    </xdr:to>
    <xdr:sp macro="" textlink="">
      <xdr:nvSpPr>
        <xdr:cNvPr id="56" name="TextBox 55">
          <a:extLst>
            <a:ext uri="{FF2B5EF4-FFF2-40B4-BE49-F238E27FC236}">
              <a16:creationId xmlns:a16="http://schemas.microsoft.com/office/drawing/2014/main" id="{DC080F7B-615A-453B-8804-B8E88C88F606}"/>
            </a:ext>
          </a:extLst>
        </xdr:cNvPr>
        <xdr:cNvSpPr txBox="1"/>
      </xdr:nvSpPr>
      <xdr:spPr>
        <a:xfrm>
          <a:off x="6332220" y="1493520"/>
          <a:ext cx="16002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latin typeface="Times New Roman" panose="02020603050405020304" pitchFamily="18" charset="0"/>
              <a:cs typeface="Times New Roman" panose="02020603050405020304" pitchFamily="18" charset="0"/>
            </a:rPr>
            <a:t>Patient</a:t>
          </a:r>
          <a:r>
            <a:rPr lang="en-US" sz="1000" b="1" baseline="0">
              <a:latin typeface="Times New Roman" panose="02020603050405020304" pitchFamily="18" charset="0"/>
              <a:cs typeface="Times New Roman" panose="02020603050405020304" pitchFamily="18" charset="0"/>
            </a:rPr>
            <a:t> Attend Status</a:t>
          </a:r>
          <a:endParaRPr lang="en-US" sz="1000" b="1">
            <a:latin typeface="Times New Roman" panose="02020603050405020304" pitchFamily="18" charset="0"/>
            <a:cs typeface="Times New Roman" panose="02020603050405020304" pitchFamily="18" charset="0"/>
          </a:endParaRPr>
        </a:p>
      </xdr:txBody>
    </xdr:sp>
    <xdr:clientData/>
  </xdr:twoCellAnchor>
  <xdr:twoCellAnchor>
    <xdr:from>
      <xdr:col>13</xdr:col>
      <xdr:colOff>144780</xdr:colOff>
      <xdr:row>0</xdr:row>
      <xdr:rowOff>68580</xdr:rowOff>
    </xdr:from>
    <xdr:to>
      <xdr:col>15</xdr:col>
      <xdr:colOff>533400</xdr:colOff>
      <xdr:row>9</xdr:row>
      <xdr:rowOff>7620</xdr:rowOff>
    </xdr:to>
    <xdr:graphicFrame macro="">
      <xdr:nvGraphicFramePr>
        <xdr:cNvPr id="57" name="Chart 56">
          <a:extLst>
            <a:ext uri="{FF2B5EF4-FFF2-40B4-BE49-F238E27FC236}">
              <a16:creationId xmlns:a16="http://schemas.microsoft.com/office/drawing/2014/main" id="{2D8628C3-DBED-4A90-9110-6DF2044A3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13</xdr:col>
      <xdr:colOff>198120</xdr:colOff>
      <xdr:row>7</xdr:row>
      <xdr:rowOff>167640</xdr:rowOff>
    </xdr:from>
    <xdr:to>
      <xdr:col>15</xdr:col>
      <xdr:colOff>579120</xdr:colOff>
      <xdr:row>8</xdr:row>
      <xdr:rowOff>152400</xdr:rowOff>
    </xdr:to>
    <xdr:sp macro="" textlink="">
      <xdr:nvSpPr>
        <xdr:cNvPr id="58" name="TextBox 57">
          <a:extLst>
            <a:ext uri="{FF2B5EF4-FFF2-40B4-BE49-F238E27FC236}">
              <a16:creationId xmlns:a16="http://schemas.microsoft.com/office/drawing/2014/main" id="{AEB8B39E-91A2-4810-8E90-4C662C374A62}"/>
            </a:ext>
          </a:extLst>
        </xdr:cNvPr>
        <xdr:cNvSpPr txBox="1"/>
      </xdr:nvSpPr>
      <xdr:spPr>
        <a:xfrm>
          <a:off x="8122920" y="1447800"/>
          <a:ext cx="16002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1">
              <a:latin typeface="Times New Roman" panose="02020603050405020304" pitchFamily="18" charset="0"/>
              <a:cs typeface="Times New Roman" panose="02020603050405020304" pitchFamily="18" charset="0"/>
            </a:rPr>
            <a:t>Gender</a:t>
          </a:r>
          <a:r>
            <a:rPr lang="en-US" sz="1000" b="1" baseline="0">
              <a:latin typeface="Times New Roman" panose="02020603050405020304" pitchFamily="18" charset="0"/>
              <a:cs typeface="Times New Roman" panose="02020603050405020304" pitchFamily="18" charset="0"/>
            </a:rPr>
            <a:t> wise Analysis</a:t>
          </a:r>
          <a:endParaRPr lang="en-US" sz="1000" b="1">
            <a:latin typeface="Times New Roman" panose="02020603050405020304" pitchFamily="18" charset="0"/>
            <a:cs typeface="Times New Roman" panose="02020603050405020304" pitchFamily="18" charset="0"/>
          </a:endParaRPr>
        </a:p>
      </xdr:txBody>
    </xdr:sp>
    <xdr:clientData/>
  </xdr:twoCellAnchor>
  <xdr:twoCellAnchor>
    <xdr:from>
      <xdr:col>10</xdr:col>
      <xdr:colOff>121920</xdr:colOff>
      <xdr:row>9</xdr:row>
      <xdr:rowOff>137160</xdr:rowOff>
    </xdr:from>
    <xdr:to>
      <xdr:col>15</xdr:col>
      <xdr:colOff>594360</xdr:colOff>
      <xdr:row>23</xdr:row>
      <xdr:rowOff>7620</xdr:rowOff>
    </xdr:to>
    <xdr:graphicFrame macro="">
      <xdr:nvGraphicFramePr>
        <xdr:cNvPr id="59" name="Chart 58">
          <a:extLst>
            <a:ext uri="{FF2B5EF4-FFF2-40B4-BE49-F238E27FC236}">
              <a16:creationId xmlns:a16="http://schemas.microsoft.com/office/drawing/2014/main" id="{F5586F99-7D9A-4836-8D0D-BB0BF1A62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205740</xdr:colOff>
      <xdr:row>22</xdr:row>
      <xdr:rowOff>0</xdr:rowOff>
    </xdr:from>
    <xdr:to>
      <xdr:col>14</xdr:col>
      <xdr:colOff>388620</xdr:colOff>
      <xdr:row>23</xdr:row>
      <xdr:rowOff>22860</xdr:rowOff>
    </xdr:to>
    <xdr:sp macro="" textlink="">
      <xdr:nvSpPr>
        <xdr:cNvPr id="60" name="TextBox 59">
          <a:extLst>
            <a:ext uri="{FF2B5EF4-FFF2-40B4-BE49-F238E27FC236}">
              <a16:creationId xmlns:a16="http://schemas.microsoft.com/office/drawing/2014/main" id="{A4269066-73F3-4F56-BF7D-27BF23B98440}"/>
            </a:ext>
          </a:extLst>
        </xdr:cNvPr>
        <xdr:cNvSpPr txBox="1"/>
      </xdr:nvSpPr>
      <xdr:spPr>
        <a:xfrm>
          <a:off x="6911340" y="4023360"/>
          <a:ext cx="20116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latin typeface="Times New Roman" panose="02020603050405020304" pitchFamily="18" charset="0"/>
              <a:cs typeface="Times New Roman" panose="02020603050405020304" pitchFamily="18" charset="0"/>
            </a:rPr>
            <a:t>No.</a:t>
          </a:r>
          <a:r>
            <a:rPr lang="en-US" sz="900" b="1" baseline="0">
              <a:latin typeface="Times New Roman" panose="02020603050405020304" pitchFamily="18" charset="0"/>
              <a:cs typeface="Times New Roman" panose="02020603050405020304" pitchFamily="18" charset="0"/>
            </a:rPr>
            <a:t> of Patient By Department Refferal</a:t>
          </a:r>
          <a:endParaRPr lang="en-US" sz="900" b="1">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220980</xdr:colOff>
      <xdr:row>0</xdr:row>
      <xdr:rowOff>76200</xdr:rowOff>
    </xdr:from>
    <xdr:to>
      <xdr:col>10</xdr:col>
      <xdr:colOff>76200</xdr:colOff>
      <xdr:row>3</xdr:row>
      <xdr:rowOff>83820</xdr:rowOff>
    </xdr:to>
    <mc:AlternateContent xmlns:mc="http://schemas.openxmlformats.org/markup-compatibility/2006" xmlns:a14="http://schemas.microsoft.com/office/drawing/2010/main">
      <mc:Choice Requires="a14">
        <xdr:graphicFrame macro="">
          <xdr:nvGraphicFramePr>
            <xdr:cNvPr id="61" name="Date (Year)">
              <a:extLst>
                <a:ext uri="{FF2B5EF4-FFF2-40B4-BE49-F238E27FC236}">
                  <a16:creationId xmlns:a16="http://schemas.microsoft.com/office/drawing/2014/main" id="{C707F427-4E73-4AEB-9A1F-C9E2C011A8F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488180" y="76200"/>
              <a:ext cx="1684020" cy="556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7620</xdr:rowOff>
    </xdr:from>
    <xdr:to>
      <xdr:col>15</xdr:col>
      <xdr:colOff>594360</xdr:colOff>
      <xdr:row>22</xdr:row>
      <xdr:rowOff>160020</xdr:rowOff>
    </xdr:to>
    <xdr:graphicFrame macro="">
      <xdr:nvGraphicFramePr>
        <xdr:cNvPr id="7" name="Chart 6">
          <a:extLst>
            <a:ext uri="{FF2B5EF4-FFF2-40B4-BE49-F238E27FC236}">
              <a16:creationId xmlns:a16="http://schemas.microsoft.com/office/drawing/2014/main" id="{4F53D234-CB1D-4F52-867A-25F800EE3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0.06025</cdr:x>
      <cdr:y>0.14695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7BEF61C-B36A-4743-9388-CB977C36590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86740" cy="5867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198120</xdr:colOff>
      <xdr:row>1</xdr:row>
      <xdr:rowOff>152400</xdr:rowOff>
    </xdr:from>
    <xdr:to>
      <xdr:col>15</xdr:col>
      <xdr:colOff>510540</xdr:colOff>
      <xdr:row>22</xdr:row>
      <xdr:rowOff>106680</xdr:rowOff>
    </xdr:to>
    <xdr:graphicFrame macro="">
      <xdr:nvGraphicFramePr>
        <xdr:cNvPr id="2" name="Chart 1">
          <a:extLst>
            <a:ext uri="{FF2B5EF4-FFF2-40B4-BE49-F238E27FC236}">
              <a16:creationId xmlns:a16="http://schemas.microsoft.com/office/drawing/2014/main" id="{3C197F6D-6EB0-4EDF-892B-53D901C0E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0.00537</cdr:x>
      <cdr:y>0.01339</cdr:y>
    </cdr:from>
    <cdr:to>
      <cdr:x>0.05399</cdr:x>
      <cdr:y>0.13454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6D3824B-8278-439C-8AAE-CDC9E1475E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59740" cy="4597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182880</xdr:colOff>
      <xdr:row>1</xdr:row>
      <xdr:rowOff>76200</xdr:rowOff>
    </xdr:from>
    <xdr:to>
      <xdr:col>14</xdr:col>
      <xdr:colOff>266700</xdr:colOff>
      <xdr:row>22</xdr:row>
      <xdr:rowOff>7620</xdr:rowOff>
    </xdr:to>
    <xdr:graphicFrame macro="">
      <xdr:nvGraphicFramePr>
        <xdr:cNvPr id="3" name="Chart 2">
          <a:extLst>
            <a:ext uri="{FF2B5EF4-FFF2-40B4-BE49-F238E27FC236}">
              <a16:creationId xmlns:a16="http://schemas.microsoft.com/office/drawing/2014/main" id="{F0CEE002-126C-49FE-A25B-9D1591C6F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0.03478</cdr:x>
      <cdr:y>0.07946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6695E5F-6EA0-4921-95CD-0502D662CA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299720" cy="2997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6527779" createdVersion="5" refreshedVersion="7" minRefreshableVersion="3" recordCount="0" supportSubquery="1" supportAdvancedDrill="1" xr:uid="{148D7A8B-85BF-4DDD-A81B-EFF19667BBFA}">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9-Oct"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6759256" createdVersion="5" refreshedVersion="7" minRefreshableVersion="3" recordCount="0" supportSubquery="1" supportAdvancedDrill="1" xr:uid="{69DEE0A8-7AE6-4785-B909-6D455817744B}">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6875002" createdVersion="5" refreshedVersion="7" minRefreshableVersion="3" recordCount="0" supportSubquery="1" supportAdvancedDrill="1" xr:uid="{D33195E6-713A-47C3-83D3-24F40166A48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7222225" createdVersion="5" refreshedVersion="7" minRefreshableVersion="3" recordCount="0" supportSubquery="1" supportAdvancedDrill="1" xr:uid="{63E73625-A280-4874-90CA-494B05B6FF9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7685187" createdVersion="5" refreshedVersion="7" minRefreshableVersion="3" recordCount="0" supportSubquery="1" supportAdvancedDrill="1" xr:uid="{046E528F-D041-48FE-9E57-6DF6ECD6CC8B}">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8263888" createdVersion="5" refreshedVersion="7" minRefreshableVersion="3" recordCount="0" supportSubquery="1" supportAdvancedDrill="1" xr:uid="{4FDD0521-36F0-48E5-9942-282BA32F1673}">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8611111" createdVersion="5" refreshedVersion="7" minRefreshableVersion="3" recordCount="0" supportSubquery="1" supportAdvancedDrill="1" xr:uid="{3D3A046E-5F4D-4399-BB4D-8B5DC0BE7781}">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9305557" createdVersion="5" refreshedVersion="7" minRefreshableVersion="3" recordCount="0" supportSubquery="1" supportAdvancedDrill="1" xr:uid="{939FD1FD-C2A1-4CF3-8D9E-25E4D672722C}">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49652781" createdVersion="5" refreshedVersion="7" minRefreshableVersion="3" recordCount="0" supportSubquery="1" supportAdvancedDrill="1" xr:uid="{A614B7F0-9C2A-48F6-919D-F2689A5948A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50115743" createdVersion="5" refreshedVersion="7" minRefreshableVersion="3" recordCount="0" supportSubquery="1" supportAdvancedDrill="1" xr:uid="{AB336D25-594C-415F-BC0F-18CAF2245E4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50694443" createdVersion="5" refreshedVersion="7" minRefreshableVersion="3" recordCount="0" supportSubquery="1" supportAdvancedDrill="1" xr:uid="{13D622BE-6AE6-415E-A8B0-A05A639ADEB5}">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91751273151" createdVersion="5" refreshedVersion="7" minRefreshableVersion="3" recordCount="0" supportSubquery="1" supportAdvancedDrill="1" xr:uid="{41CFFD24-19EF-4618-93B3-1A880E55CE33}">
  <cacheSource type="external" connectionId="3"/>
  <cacheFields count="4">
    <cacheField name="[Calendar_Table].[Date (Month)].[Date (Month)]" caption="Date (Month)" numFmtId="0" hierarchy="1" level="1">
      <sharedItems containsNonDate="0"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ntainsNonDate="0" count="1">
        <s v="Qtr2"/>
      </sharedItems>
    </cacheField>
    <cacheField name="[Calendar_Table].[Date (Year)].[Date (Year)]" caption="Date (Year)" numFmtId="0" hierarchy="3" level="1">
      <sharedItems count="1">
        <s v="2023"/>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lo" refreshedDate="46195.789442361114" createdVersion="3" refreshedVersion="7" minRefreshableVersion="3" recordCount="0" supportSubquery="1" supportAdvancedDrill="1" xr:uid="{846CEACC-2F7E-4350-AD16-84C0D6430E4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Age Group]" caption="Sum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842079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EF04B-287D-4ACA-8D63-49AE1ECB02BC}" name="PivotTable2" cacheId="2" applyNumberFormats="0" applyBorderFormats="0" applyFontFormats="0" applyPatternFormats="0" applyAlignmentFormats="0" applyWidthHeightFormats="1" dataCaption="Values" tag="7f47433f-0c32-4539-ab98-9625af72497e" updatedVersion="7"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0D3BF2-AA65-41BD-AB83-7AD800234086}" name="PivotTable5" cacheId="4" applyNumberFormats="0" applyBorderFormats="0" applyFontFormats="0" applyPatternFormats="0" applyAlignmentFormats="0" applyWidthHeightFormats="1" dataCaption="Values" tag="8c67f993-f1d6-4ca8-bd82-c336666ceb81" updatedVersion="7" minRefreshableVersion="3" subtotalHiddenItems="1" itemPrintTitles="1" createdVersion="5" indent="0" outline="1" outlineData="1" multipleFieldFilters="0" chartFormat="29">
  <location ref="E6:F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84CA2-ADCD-47A6-B10E-EAD0F9C7D091}" name="PivotTable7" cacheId="6" applyNumberFormats="0" applyBorderFormats="0" applyFontFormats="0" applyPatternFormats="0" applyAlignmentFormats="0" applyWidthHeightFormats="1" dataCaption="Values" tag="49a1ed38-9261-45bd-9fd1-584a79803b17" updatedVersion="7" minRefreshableVersion="3" subtotalHiddenItems="1" itemPrintTitles="1" createdVersion="5" indent="0" outline="1" outlineData="1" multipleFieldFilters="0" chartFormat="47">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8">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7642D9-766D-4EAF-9641-4C1DC3EAF93F}" name="PivotTable4" cacheId="0" applyNumberFormats="0" applyBorderFormats="0" applyFontFormats="0" applyPatternFormats="0" applyAlignmentFormats="0" applyWidthHeightFormats="1" dataCaption="Values" tag="8c67f993-f1d6-4ca8-bd82-c336666ceb81" updatedVersion="7" minRefreshableVersion="3" subtotalHiddenItems="1" itemPrintTitles="1" createdVersion="5" indent="0" outline="1" outlineData="1" multipleFieldFilters="0" chartFormat="16">
  <location ref="B4:C36"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 count="1" selected="0">
            <x v="31"/>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31E4AD-205F-4B39-B9CC-5EB9D4311043}" name="PivotTable13" cacheId="11" applyNumberFormats="0" applyBorderFormats="0" applyFontFormats="0" applyPatternFormats="0" applyAlignmentFormats="0" applyWidthHeightFormats="1" dataCaption="Values" tag="49a1ed38-9261-45bd-9fd1-584a79803b17" updatedVersion="7" minRefreshableVersion="3" showDrill="0" subtotalHiddenItems="1" itemPrintTitles="1" createdVersion="5" indent="0" outline="1" outlineData="1" multipleFieldFilters="0" chartFormat="65">
  <location ref="A95:A9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
      <pivotArea outline="0" collapsedLevelsAreSubtotals="1" fieldPosition="0"/>
    </format>
  </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299977-0950-4739-8813-5CB78C50BDF2}" name="PivotTable10" cacheId="8" applyNumberFormats="0" applyBorderFormats="0" applyFontFormats="0" applyPatternFormats="0" applyAlignmentFormats="0" applyWidthHeightFormats="1" dataCaption="Values" tag="49a1ed38-9261-45bd-9fd1-584a79803b17" updatedVersion="7" minRefreshableVersion="3" subtotalHiddenItems="1" itemPrintTitles="1" createdVersion="5" indent="0" outline="1" outlineData="1" multipleFieldFilters="0" chartFormat="57">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5">
      <pivotArea outline="0" collapsedLevelsAreSubtotals="1" fieldPosition="0"/>
    </format>
  </formats>
  <chartFormats count="3">
    <chartFormat chart="56" format="4" series="1">
      <pivotArea type="data" outline="0" fieldPosition="0">
        <references count="1">
          <reference field="4294967294" count="1" selected="0">
            <x v="0"/>
          </reference>
        </references>
      </pivotArea>
    </chartFormat>
    <chartFormat chart="56" format="5">
      <pivotArea type="data" outline="0" fieldPosition="0">
        <references count="2">
          <reference field="4294967294" count="1" selected="0">
            <x v="0"/>
          </reference>
          <reference field="1" count="1" selected="0">
            <x v="0"/>
          </reference>
        </references>
      </pivotArea>
    </chartFormat>
    <chartFormat chart="56"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E89359-AF94-47C7-85B2-A43874942219}" name="PivotTable1" cacheId="1" applyNumberFormats="0" applyBorderFormats="0" applyFontFormats="0" applyPatternFormats="0" applyAlignmentFormats="0" applyWidthHeightFormats="1" dataCaption="Values" tag="8c67f993-f1d6-4ca8-bd82-c336666ceb81"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86247E-01C0-46A1-9137-462CB63E903A}" name="PivotTable6" cacheId="5" applyNumberFormats="0" applyBorderFormats="0" applyFontFormats="0" applyPatternFormats="0" applyAlignmentFormats="0" applyWidthHeightFormats="1" dataCaption="Values" tag="8c67f993-f1d6-4ca8-bd82-c336666ceb81" updatedVersion="7" minRefreshableVersion="3" subtotalHiddenItems="1" itemPrintTitles="1" createdVersion="5" indent="0" outline="1" outlineData="1" multipleFieldFilters="0" chartFormat="36">
  <location ref="H6:I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
      <pivotArea outline="0" collapsedLevelsAreSubtotals="1" fieldPosition="0"/>
    </format>
  </formats>
  <chartFormats count="2">
    <chartFormat chart="32"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5401D1-5B1B-42C6-A5E8-A67F9CAEACB9}" name="PivotTable12" cacheId="10" applyNumberFormats="0" applyBorderFormats="0" applyFontFormats="0" applyPatternFormats="0" applyAlignmentFormats="0" applyWidthHeightFormats="1" dataCaption="Values" tag="49a1ed38-9261-45bd-9fd1-584a79803b17" updatedVersion="7" minRefreshableVersion="3" showDrill="0" subtotalHiddenItems="1" itemPrintTitles="1" createdVersion="5" indent="0" outline="1" outlineData="1" multipleFieldFilters="0" chartFormat="65">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7">
      <pivotArea outline="0" collapsedLevelsAreSubtotals="1" fieldPosition="0"/>
    </format>
  </formats>
  <chartFormats count="2">
    <chartFormat chart="61"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9FA359-AABB-4206-B786-70507647E596}" name="PivotTable3" cacheId="3" applyNumberFormats="0" applyBorderFormats="0" applyFontFormats="0" applyPatternFormats="0" applyAlignmentFormats="0" applyWidthHeightFormats="1" dataCaption="Values" tag="49a1ed38-9261-45bd-9fd1-584a79803b17" updatedVersion="7"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B7FD95-89DA-4814-B7EA-6F5ABF8A90D2}" name="PivotTable11" cacheId="9" applyNumberFormats="0" applyBorderFormats="0" applyFontFormats="0" applyPatternFormats="0" applyAlignmentFormats="0" applyWidthHeightFormats="1" dataCaption="Values" tag="49a1ed38-9261-45bd-9fd1-584a79803b17" updatedVersion="7" minRefreshableVersion="3" showDrill="0" subtotalHiddenItems="1" itemPrintTitles="1" createdVersion="5" indent="0" outline="1" outlineData="1" multipleFieldFilters="0" chartFormat="61">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9">
      <pivotArea outline="0" collapsedLevelsAreSubtotals="1" fieldPosition="0"/>
    </format>
  </formats>
  <chartFormats count="3">
    <chartFormat chart="60" format="4" series="1">
      <pivotArea type="data" outline="0" fieldPosition="0">
        <references count="1">
          <reference field="4294967294" count="1" selected="0">
            <x v="0"/>
          </reference>
        </references>
      </pivotArea>
    </chartFormat>
    <chartFormat chart="60" format="5">
      <pivotArea type="data" outline="0" fieldPosition="0">
        <references count="2">
          <reference field="4294967294" count="1" selected="0">
            <x v="0"/>
          </reference>
          <reference field="1" count="1" selected="0">
            <x v="0"/>
          </reference>
        </references>
      </pivotArea>
    </chartFormat>
    <chartFormat chart="60"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5CD7D5-24F8-4ABA-B29C-5C122506F1A2}" name="PivotTable9" cacheId="7" applyNumberFormats="0" applyBorderFormats="0" applyFontFormats="0" applyPatternFormats="0" applyAlignmentFormats="0" applyWidthHeightFormats="1" dataCaption="Values" tag="49a1ed38-9261-45bd-9fd1-584a79803b17" updatedVersion="7" minRefreshableVersion="3" subtotalHiddenItems="1" itemPrintTitles="1" createdVersion="5" indent="0" outline="1" outlineData="1" multipleFieldFilters="0" chartFormat="53">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0">
      <pivotArea outline="0" collapsedLevelsAreSubtotals="1" fieldPosition="0"/>
    </format>
  </formats>
  <chartFormats count="3">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90571AD-709D-476E-A5E2-67A7B55C804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2"/>
    <pivotTable tabId="1" name="PivotTable13"/>
  </pivotTables>
  <data>
    <olap pivotCacheId="88420792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4A46256-372C-41C2-8417-BFC1A9C7F7E0}"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88420792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511712E-9E76-4342-BEF1-40975F254304}" cache="Slicer_Date__Month" caption="Date (Month)" showCaption="0" level="1" style="MY STYLE" rowHeight="234950"/>
  <slicer name="Date (Year)" xr10:uid="{A927018B-72DD-46BF-B76C-34C50BCD70C7}"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lumMod val="95000"/>
          </a:schemeClr>
        </a:solidFill>
        <a:ln>
          <a:no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9400-E93B-48A0-9E2A-5DAF608BD4BD}">
  <dimension ref="A3:I97"/>
  <sheetViews>
    <sheetView topLeftCell="A24" workbookViewId="0">
      <selection activeCell="F54" sqref="F54"/>
    </sheetView>
  </sheetViews>
  <sheetFormatPr defaultRowHeight="14.4" x14ac:dyDescent="0.3"/>
  <cols>
    <col min="1" max="1" width="15" customWidth="1"/>
    <col min="2" max="2" width="18.6640625" customWidth="1"/>
    <col min="3" max="4" width="15.44140625" customWidth="1"/>
    <col min="5" max="5" width="9.77734375" customWidth="1"/>
    <col min="6" max="6" width="25" bestFit="1" customWidth="1"/>
    <col min="8" max="8" width="12.5546875" bestFit="1" customWidth="1"/>
    <col min="9" max="9" width="32.44140625" bestFit="1" customWidth="1"/>
  </cols>
  <sheetData>
    <row r="3" spans="1:9" x14ac:dyDescent="0.3">
      <c r="A3" t="s">
        <v>3</v>
      </c>
      <c r="B3" t="s">
        <v>7</v>
      </c>
    </row>
    <row r="4" spans="1:9" x14ac:dyDescent="0.3">
      <c r="A4" t="s">
        <v>0</v>
      </c>
      <c r="B4" s="4" t="s">
        <v>4</v>
      </c>
      <c r="C4" t="s">
        <v>0</v>
      </c>
    </row>
    <row r="5" spans="1:9" x14ac:dyDescent="0.3">
      <c r="A5" s="1">
        <v>464</v>
      </c>
      <c r="B5" s="5" t="s">
        <v>10</v>
      </c>
      <c r="C5" s="1">
        <v>15</v>
      </c>
      <c r="E5" t="s">
        <v>8</v>
      </c>
      <c r="H5" t="s">
        <v>42</v>
      </c>
    </row>
    <row r="6" spans="1:9" x14ac:dyDescent="0.3">
      <c r="B6" s="5" t="s">
        <v>11</v>
      </c>
      <c r="C6" s="1">
        <v>9</v>
      </c>
      <c r="E6" s="4" t="s">
        <v>4</v>
      </c>
      <c r="F6" t="s">
        <v>1</v>
      </c>
      <c r="H6" s="4" t="s">
        <v>4</v>
      </c>
      <c r="I6" t="s">
        <v>2</v>
      </c>
    </row>
    <row r="7" spans="1:9" x14ac:dyDescent="0.3">
      <c r="B7" s="5" t="s">
        <v>12</v>
      </c>
      <c r="C7" s="1">
        <v>16</v>
      </c>
      <c r="E7" s="5" t="s">
        <v>10</v>
      </c>
      <c r="F7" s="2">
        <v>38.200000000000003</v>
      </c>
      <c r="H7" s="5" t="s">
        <v>10</v>
      </c>
      <c r="I7" s="2">
        <v>2</v>
      </c>
    </row>
    <row r="8" spans="1:9" x14ac:dyDescent="0.3">
      <c r="B8" s="5" t="s">
        <v>13</v>
      </c>
      <c r="C8" s="1">
        <v>16</v>
      </c>
      <c r="E8" s="5" t="s">
        <v>11</v>
      </c>
      <c r="F8" s="2">
        <v>32.444444444444443</v>
      </c>
      <c r="H8" s="5" t="s">
        <v>11</v>
      </c>
      <c r="I8" s="2">
        <v>6.5</v>
      </c>
    </row>
    <row r="9" spans="1:9" x14ac:dyDescent="0.3">
      <c r="A9" t="s">
        <v>1</v>
      </c>
      <c r="B9" s="5" t="s">
        <v>14</v>
      </c>
      <c r="C9" s="1">
        <v>8</v>
      </c>
      <c r="E9" s="5" t="s">
        <v>12</v>
      </c>
      <c r="F9" s="2">
        <v>37.875</v>
      </c>
      <c r="H9" s="5" t="s">
        <v>12</v>
      </c>
      <c r="I9" s="2">
        <v>2.5</v>
      </c>
    </row>
    <row r="10" spans="1:9" x14ac:dyDescent="0.3">
      <c r="A10" s="2">
        <v>34.719827586206897</v>
      </c>
      <c r="B10" s="5" t="s">
        <v>15</v>
      </c>
      <c r="C10" s="1">
        <v>12</v>
      </c>
      <c r="E10" s="5" t="s">
        <v>13</v>
      </c>
      <c r="F10" s="2">
        <v>34.125</v>
      </c>
      <c r="H10" s="5" t="s">
        <v>13</v>
      </c>
      <c r="I10" s="2">
        <v>2</v>
      </c>
    </row>
    <row r="11" spans="1:9" x14ac:dyDescent="0.3">
      <c r="B11" s="5" t="s">
        <v>16</v>
      </c>
      <c r="C11" s="1">
        <v>15</v>
      </c>
      <c r="E11" s="5" t="s">
        <v>14</v>
      </c>
      <c r="F11" s="2">
        <v>24.5</v>
      </c>
      <c r="H11" s="5" t="s">
        <v>14</v>
      </c>
      <c r="I11" s="2">
        <v>2</v>
      </c>
    </row>
    <row r="12" spans="1:9" x14ac:dyDescent="0.3">
      <c r="B12" s="5" t="s">
        <v>17</v>
      </c>
      <c r="C12" s="1">
        <v>12</v>
      </c>
      <c r="E12" s="5" t="s">
        <v>15</v>
      </c>
      <c r="F12" s="2">
        <v>34.666666666666664</v>
      </c>
      <c r="H12" s="5" t="s">
        <v>15</v>
      </c>
      <c r="I12" s="2">
        <v>6</v>
      </c>
    </row>
    <row r="13" spans="1:9" x14ac:dyDescent="0.3">
      <c r="A13" t="s">
        <v>2</v>
      </c>
      <c r="B13" s="5" t="s">
        <v>18</v>
      </c>
      <c r="C13" s="1">
        <v>16</v>
      </c>
      <c r="E13" s="5" t="s">
        <v>16</v>
      </c>
      <c r="F13" s="2">
        <v>38.333333333333336</v>
      </c>
      <c r="H13" s="5" t="s">
        <v>16</v>
      </c>
      <c r="I13" s="2">
        <v>4.5714285714285712</v>
      </c>
    </row>
    <row r="14" spans="1:9" x14ac:dyDescent="0.3">
      <c r="A14" s="2">
        <v>4.9913043478260866</v>
      </c>
      <c r="B14" s="5" t="s">
        <v>19</v>
      </c>
      <c r="C14" s="1">
        <v>17</v>
      </c>
      <c r="E14" s="5" t="s">
        <v>17</v>
      </c>
      <c r="F14" s="2">
        <v>43.833333333333336</v>
      </c>
      <c r="H14" s="5" t="s">
        <v>17</v>
      </c>
      <c r="I14" s="2">
        <v>4.333333333333333</v>
      </c>
    </row>
    <row r="15" spans="1:9" x14ac:dyDescent="0.3">
      <c r="B15" s="5" t="s">
        <v>20</v>
      </c>
      <c r="C15" s="1">
        <v>17</v>
      </c>
      <c r="E15" s="5" t="s">
        <v>18</v>
      </c>
      <c r="F15" s="2">
        <v>30.9375</v>
      </c>
      <c r="H15" s="5" t="s">
        <v>18</v>
      </c>
      <c r="I15" s="2">
        <v>7</v>
      </c>
    </row>
    <row r="16" spans="1:9" x14ac:dyDescent="0.3">
      <c r="B16" s="5" t="s">
        <v>21</v>
      </c>
      <c r="C16" s="1">
        <v>14</v>
      </c>
      <c r="E16" s="5" t="s">
        <v>19</v>
      </c>
      <c r="F16" s="2">
        <v>34.941176470588232</v>
      </c>
      <c r="H16" s="5" t="s">
        <v>19</v>
      </c>
      <c r="I16" s="2">
        <v>7.666666666666667</v>
      </c>
    </row>
    <row r="17" spans="2:9" x14ac:dyDescent="0.3">
      <c r="B17" s="5" t="s">
        <v>22</v>
      </c>
      <c r="C17" s="1">
        <v>20</v>
      </c>
      <c r="E17" s="5" t="s">
        <v>20</v>
      </c>
      <c r="F17" s="2">
        <v>30.294117647058822</v>
      </c>
      <c r="H17" s="5" t="s">
        <v>20</v>
      </c>
      <c r="I17" s="2">
        <v>4.5</v>
      </c>
    </row>
    <row r="18" spans="2:9" x14ac:dyDescent="0.3">
      <c r="B18" s="5" t="s">
        <v>23</v>
      </c>
      <c r="C18" s="1">
        <v>15</v>
      </c>
      <c r="E18" s="5" t="s">
        <v>21</v>
      </c>
      <c r="F18" s="2">
        <v>32.428571428571431</v>
      </c>
      <c r="H18" s="5" t="s">
        <v>21</v>
      </c>
      <c r="I18" s="2">
        <v>4</v>
      </c>
    </row>
    <row r="19" spans="2:9" x14ac:dyDescent="0.3">
      <c r="B19" s="5" t="s">
        <v>24</v>
      </c>
      <c r="C19" s="1">
        <v>15</v>
      </c>
      <c r="E19" s="5" t="s">
        <v>22</v>
      </c>
      <c r="F19" s="2">
        <v>31.1</v>
      </c>
      <c r="H19" s="5" t="s">
        <v>22</v>
      </c>
      <c r="I19" s="2">
        <v>5.25</v>
      </c>
    </row>
    <row r="20" spans="2:9" x14ac:dyDescent="0.3">
      <c r="B20" s="5" t="s">
        <v>25</v>
      </c>
      <c r="C20" s="1">
        <v>14</v>
      </c>
      <c r="E20" s="5" t="s">
        <v>23</v>
      </c>
      <c r="F20" s="2">
        <v>34.333333333333336</v>
      </c>
      <c r="H20" s="5" t="s">
        <v>23</v>
      </c>
      <c r="I20" s="2">
        <v>3.5</v>
      </c>
    </row>
    <row r="21" spans="2:9" x14ac:dyDescent="0.3">
      <c r="B21" s="5" t="s">
        <v>26</v>
      </c>
      <c r="C21" s="1">
        <v>16</v>
      </c>
      <c r="E21" s="5" t="s">
        <v>24</v>
      </c>
      <c r="F21" s="2">
        <v>28.6</v>
      </c>
      <c r="H21" s="5" t="s">
        <v>24</v>
      </c>
      <c r="I21" s="2">
        <v>8.3333333333333339</v>
      </c>
    </row>
    <row r="22" spans="2:9" x14ac:dyDescent="0.3">
      <c r="B22" s="5" t="s">
        <v>27</v>
      </c>
      <c r="C22" s="1">
        <v>14</v>
      </c>
      <c r="E22" s="5" t="s">
        <v>25</v>
      </c>
      <c r="F22" s="2">
        <v>32</v>
      </c>
      <c r="H22" s="5" t="s">
        <v>25</v>
      </c>
      <c r="I22" s="2">
        <v>4.5</v>
      </c>
    </row>
    <row r="23" spans="2:9" x14ac:dyDescent="0.3">
      <c r="B23" s="5" t="s">
        <v>28</v>
      </c>
      <c r="C23" s="1">
        <v>16</v>
      </c>
      <c r="E23" s="5" t="s">
        <v>26</v>
      </c>
      <c r="F23" s="2">
        <v>37.625</v>
      </c>
      <c r="H23" s="5" t="s">
        <v>26</v>
      </c>
      <c r="I23" s="2">
        <v>5</v>
      </c>
    </row>
    <row r="24" spans="2:9" x14ac:dyDescent="0.3">
      <c r="B24" s="5" t="s">
        <v>29</v>
      </c>
      <c r="C24" s="1">
        <v>14</v>
      </c>
      <c r="E24" s="5" t="s">
        <v>27</v>
      </c>
      <c r="F24" s="2">
        <v>37.785714285714285</v>
      </c>
      <c r="H24" s="5" t="s">
        <v>27</v>
      </c>
      <c r="I24" s="2">
        <v>1</v>
      </c>
    </row>
    <row r="25" spans="2:9" x14ac:dyDescent="0.3">
      <c r="B25" s="5" t="s">
        <v>30</v>
      </c>
      <c r="C25" s="1">
        <v>13</v>
      </c>
      <c r="E25" s="5" t="s">
        <v>28</v>
      </c>
      <c r="F25" s="2">
        <v>36.375</v>
      </c>
      <c r="H25" s="5" t="s">
        <v>28</v>
      </c>
      <c r="I25" s="2">
        <v>5.6</v>
      </c>
    </row>
    <row r="26" spans="2:9" x14ac:dyDescent="0.3">
      <c r="B26" s="5" t="s">
        <v>31</v>
      </c>
      <c r="C26" s="1">
        <v>19</v>
      </c>
      <c r="E26" s="5" t="s">
        <v>29</v>
      </c>
      <c r="F26" s="2">
        <v>38.857142857142854</v>
      </c>
      <c r="H26" s="5" t="s">
        <v>29</v>
      </c>
      <c r="I26" s="2">
        <v>3</v>
      </c>
    </row>
    <row r="27" spans="2:9" x14ac:dyDescent="0.3">
      <c r="B27" s="5" t="s">
        <v>32</v>
      </c>
      <c r="C27" s="1">
        <v>15</v>
      </c>
      <c r="E27" s="5" t="s">
        <v>30</v>
      </c>
      <c r="F27" s="2">
        <v>37</v>
      </c>
      <c r="H27" s="5" t="s">
        <v>30</v>
      </c>
      <c r="I27" s="2">
        <v>5.666666666666667</v>
      </c>
    </row>
    <row r="28" spans="2:9" x14ac:dyDescent="0.3">
      <c r="B28" s="5" t="s">
        <v>33</v>
      </c>
      <c r="C28" s="1">
        <v>18</v>
      </c>
      <c r="E28" s="5" t="s">
        <v>31</v>
      </c>
      <c r="F28" s="2">
        <v>33</v>
      </c>
      <c r="H28" s="5" t="s">
        <v>31</v>
      </c>
      <c r="I28" s="2">
        <v>5.5</v>
      </c>
    </row>
    <row r="29" spans="2:9" x14ac:dyDescent="0.3">
      <c r="B29" s="5" t="s">
        <v>34</v>
      </c>
      <c r="C29" s="1">
        <v>14</v>
      </c>
      <c r="E29" s="5" t="s">
        <v>32</v>
      </c>
      <c r="F29" s="2">
        <v>33.333333333333336</v>
      </c>
      <c r="H29" s="5" t="s">
        <v>32</v>
      </c>
      <c r="I29" s="2">
        <v>5.2</v>
      </c>
    </row>
    <row r="30" spans="2:9" x14ac:dyDescent="0.3">
      <c r="B30" s="5" t="s">
        <v>35</v>
      </c>
      <c r="C30" s="1">
        <v>16</v>
      </c>
      <c r="E30" s="5" t="s">
        <v>33</v>
      </c>
      <c r="F30" s="2">
        <v>36.944444444444443</v>
      </c>
      <c r="H30" s="5" t="s">
        <v>33</v>
      </c>
      <c r="I30" s="2">
        <v>4</v>
      </c>
    </row>
    <row r="31" spans="2:9" x14ac:dyDescent="0.3">
      <c r="B31" s="5" t="s">
        <v>36</v>
      </c>
      <c r="C31" s="1">
        <v>13</v>
      </c>
      <c r="E31" s="5" t="s">
        <v>34</v>
      </c>
      <c r="F31" s="2">
        <v>34.357142857142854</v>
      </c>
      <c r="H31" s="5" t="s">
        <v>34</v>
      </c>
      <c r="I31" s="2">
        <v>4.75</v>
      </c>
    </row>
    <row r="32" spans="2:9" x14ac:dyDescent="0.3">
      <c r="B32" s="5" t="s">
        <v>37</v>
      </c>
      <c r="C32" s="1">
        <v>12</v>
      </c>
      <c r="E32" s="5" t="s">
        <v>35</v>
      </c>
      <c r="F32" s="2">
        <v>39</v>
      </c>
      <c r="H32" s="5" t="s">
        <v>35</v>
      </c>
      <c r="I32" s="2">
        <v>4.75</v>
      </c>
    </row>
    <row r="33" spans="1:9" x14ac:dyDescent="0.3">
      <c r="B33" s="5" t="s">
        <v>38</v>
      </c>
      <c r="C33" s="1">
        <v>19</v>
      </c>
      <c r="E33" s="5" t="s">
        <v>36</v>
      </c>
      <c r="F33" s="2">
        <v>32</v>
      </c>
      <c r="H33" s="5" t="s">
        <v>36</v>
      </c>
      <c r="I33" s="2">
        <v>6.5</v>
      </c>
    </row>
    <row r="34" spans="1:9" x14ac:dyDescent="0.3">
      <c r="B34" s="5" t="s">
        <v>39</v>
      </c>
      <c r="C34" s="1">
        <v>19</v>
      </c>
      <c r="E34" s="5" t="s">
        <v>37</v>
      </c>
      <c r="F34" s="2">
        <v>33.5</v>
      </c>
      <c r="H34" s="5" t="s">
        <v>37</v>
      </c>
      <c r="I34" s="2">
        <v>5</v>
      </c>
    </row>
    <row r="35" spans="1:9" x14ac:dyDescent="0.3">
      <c r="B35" s="5" t="s">
        <v>40</v>
      </c>
      <c r="C35" s="1">
        <v>15</v>
      </c>
      <c r="E35" s="5" t="s">
        <v>38</v>
      </c>
      <c r="F35" s="2">
        <v>37.89473684210526</v>
      </c>
      <c r="H35" s="5" t="s">
        <v>38</v>
      </c>
      <c r="I35" s="2">
        <v>6.333333333333333</v>
      </c>
    </row>
    <row r="36" spans="1:9" x14ac:dyDescent="0.3">
      <c r="B36" s="5" t="s">
        <v>5</v>
      </c>
      <c r="C36" s="1">
        <v>464</v>
      </c>
      <c r="E36" s="5" t="s">
        <v>39</v>
      </c>
      <c r="F36" s="2">
        <v>32</v>
      </c>
      <c r="H36" s="5" t="s">
        <v>39</v>
      </c>
      <c r="I36" s="2">
        <v>6</v>
      </c>
    </row>
    <row r="37" spans="1:9" x14ac:dyDescent="0.3">
      <c r="E37" s="5" t="s">
        <v>40</v>
      </c>
      <c r="F37" s="2">
        <v>35.133333333333333</v>
      </c>
      <c r="H37" s="5" t="s">
        <v>40</v>
      </c>
      <c r="I37" s="2">
        <v>8.1666666666666661</v>
      </c>
    </row>
    <row r="38" spans="1:9" x14ac:dyDescent="0.3">
      <c r="E38" s="5" t="s">
        <v>5</v>
      </c>
      <c r="F38" s="2">
        <v>34.719827586206897</v>
      </c>
      <c r="H38" s="5" t="s">
        <v>5</v>
      </c>
      <c r="I38" s="2">
        <v>4.9913043478260866</v>
      </c>
    </row>
    <row r="40" spans="1:9" x14ac:dyDescent="0.3">
      <c r="A40" s="4" t="s">
        <v>4</v>
      </c>
      <c r="B40" t="s">
        <v>45</v>
      </c>
      <c r="C40" t="s">
        <v>46</v>
      </c>
    </row>
    <row r="41" spans="1:9" x14ac:dyDescent="0.3">
      <c r="A41" s="5" t="s">
        <v>43</v>
      </c>
      <c r="B41" s="12">
        <v>236</v>
      </c>
      <c r="C41" s="13">
        <v>0.50862068965517238</v>
      </c>
    </row>
    <row r="42" spans="1:9" x14ac:dyDescent="0.3">
      <c r="A42" s="5" t="s">
        <v>44</v>
      </c>
      <c r="B42" s="12">
        <v>228</v>
      </c>
      <c r="C42" s="13">
        <v>0.49137931034482757</v>
      </c>
    </row>
    <row r="43" spans="1:9" x14ac:dyDescent="0.3">
      <c r="A43" s="5" t="s">
        <v>5</v>
      </c>
      <c r="B43" s="12">
        <v>464</v>
      </c>
      <c r="C43" s="13">
        <v>1</v>
      </c>
    </row>
    <row r="49" spans="1:5" x14ac:dyDescent="0.3">
      <c r="A49" s="14" t="s">
        <v>47</v>
      </c>
      <c r="B49" s="14" t="s">
        <v>77</v>
      </c>
      <c r="C49" s="14" t="s">
        <v>76</v>
      </c>
      <c r="D49" s="14"/>
      <c r="E49" s="14"/>
    </row>
    <row r="50" spans="1:5" x14ac:dyDescent="0.3">
      <c r="A50" s="15" t="str">
        <f>A42</f>
        <v>Not Admitted</v>
      </c>
      <c r="B50" s="15">
        <f>B42</f>
        <v>228</v>
      </c>
      <c r="C50" s="16">
        <f>C42</f>
        <v>0.49137931034482757</v>
      </c>
      <c r="D50" s="15"/>
      <c r="E50" s="6"/>
    </row>
    <row r="51" spans="1:5" x14ac:dyDescent="0.3">
      <c r="A51" s="15" t="str">
        <f>A41</f>
        <v>Admitted</v>
      </c>
      <c r="B51" s="15">
        <f>B41</f>
        <v>236</v>
      </c>
      <c r="C51" s="16">
        <f>C41</f>
        <v>0.50862068965517238</v>
      </c>
      <c r="D51" s="15"/>
      <c r="E51" s="6"/>
    </row>
    <row r="53" spans="1:5" x14ac:dyDescent="0.3">
      <c r="C53" s="13"/>
    </row>
    <row r="54" spans="1:5" x14ac:dyDescent="0.3">
      <c r="A54" t="s">
        <v>57</v>
      </c>
    </row>
    <row r="55" spans="1:5" x14ac:dyDescent="0.3">
      <c r="A55" s="4" t="s">
        <v>4</v>
      </c>
      <c r="B55" t="s">
        <v>56</v>
      </c>
    </row>
    <row r="56" spans="1:5" x14ac:dyDescent="0.3">
      <c r="A56" s="5" t="s">
        <v>48</v>
      </c>
      <c r="B56" s="12">
        <v>61</v>
      </c>
    </row>
    <row r="57" spans="1:5" x14ac:dyDescent="0.3">
      <c r="A57" s="5" t="s">
        <v>49</v>
      </c>
      <c r="B57" s="12">
        <v>53</v>
      </c>
    </row>
    <row r="58" spans="1:5" x14ac:dyDescent="0.3">
      <c r="A58" s="5" t="s">
        <v>50</v>
      </c>
      <c r="B58" s="12">
        <v>71</v>
      </c>
    </row>
    <row r="59" spans="1:5" x14ac:dyDescent="0.3">
      <c r="A59" s="5" t="s">
        <v>51</v>
      </c>
      <c r="B59" s="12">
        <v>59</v>
      </c>
    </row>
    <row r="60" spans="1:5" x14ac:dyDescent="0.3">
      <c r="A60" s="5" t="s">
        <v>52</v>
      </c>
      <c r="B60" s="12">
        <v>63</v>
      </c>
    </row>
    <row r="61" spans="1:5" x14ac:dyDescent="0.3">
      <c r="A61" s="5" t="s">
        <v>53</v>
      </c>
      <c r="B61" s="12">
        <v>63</v>
      </c>
    </row>
    <row r="62" spans="1:5" x14ac:dyDescent="0.3">
      <c r="A62" s="5" t="s">
        <v>54</v>
      </c>
      <c r="B62" s="12">
        <v>37</v>
      </c>
    </row>
    <row r="63" spans="1:5" x14ac:dyDescent="0.3">
      <c r="A63" s="5" t="s">
        <v>55</v>
      </c>
      <c r="B63" s="12">
        <v>57</v>
      </c>
    </row>
    <row r="64" spans="1:5" x14ac:dyDescent="0.3">
      <c r="A64" s="5" t="s">
        <v>5</v>
      </c>
      <c r="B64" s="12">
        <v>464</v>
      </c>
    </row>
    <row r="67" spans="1:2" x14ac:dyDescent="0.3">
      <c r="A67" s="5" t="s">
        <v>61</v>
      </c>
    </row>
    <row r="68" spans="1:2" x14ac:dyDescent="0.3">
      <c r="A68" s="4" t="s">
        <v>4</v>
      </c>
      <c r="B68" t="s">
        <v>60</v>
      </c>
    </row>
    <row r="69" spans="1:2" x14ac:dyDescent="0.3">
      <c r="A69" s="5" t="s">
        <v>58</v>
      </c>
      <c r="B69" s="12">
        <v>267</v>
      </c>
    </row>
    <row r="70" spans="1:2" x14ac:dyDescent="0.3">
      <c r="A70" s="5" t="s">
        <v>59</v>
      </c>
      <c r="B70" s="12">
        <v>197</v>
      </c>
    </row>
    <row r="71" spans="1:2" x14ac:dyDescent="0.3">
      <c r="A71" s="5" t="s">
        <v>5</v>
      </c>
      <c r="B71" s="12">
        <v>464</v>
      </c>
    </row>
    <row r="74" spans="1:2" x14ac:dyDescent="0.3">
      <c r="A74" s="5" t="s">
        <v>65</v>
      </c>
    </row>
    <row r="75" spans="1:2" x14ac:dyDescent="0.3">
      <c r="A75" s="4" t="s">
        <v>4</v>
      </c>
      <c r="B75" t="s">
        <v>64</v>
      </c>
    </row>
    <row r="76" spans="1:2" x14ac:dyDescent="0.3">
      <c r="A76" s="5" t="s">
        <v>62</v>
      </c>
      <c r="B76" s="12">
        <v>228</v>
      </c>
    </row>
    <row r="77" spans="1:2" x14ac:dyDescent="0.3">
      <c r="A77" s="5" t="s">
        <v>63</v>
      </c>
      <c r="B77" s="12">
        <v>236</v>
      </c>
    </row>
    <row r="78" spans="1:2" x14ac:dyDescent="0.3">
      <c r="A78" s="5" t="s">
        <v>5</v>
      </c>
      <c r="B78" s="12">
        <v>464</v>
      </c>
    </row>
    <row r="82" spans="1:2" x14ac:dyDescent="0.3">
      <c r="A82" s="4" t="s">
        <v>4</v>
      </c>
      <c r="B82" t="s">
        <v>74</v>
      </c>
    </row>
    <row r="83" spans="1:2" x14ac:dyDescent="0.3">
      <c r="A83" s="5" t="s">
        <v>73</v>
      </c>
      <c r="B83" s="12">
        <v>3</v>
      </c>
    </row>
    <row r="84" spans="1:2" x14ac:dyDescent="0.3">
      <c r="A84" s="5" t="s">
        <v>67</v>
      </c>
      <c r="B84" s="12">
        <v>8</v>
      </c>
    </row>
    <row r="85" spans="1:2" x14ac:dyDescent="0.3">
      <c r="A85" s="5" t="s">
        <v>69</v>
      </c>
      <c r="B85" s="12">
        <v>9</v>
      </c>
    </row>
    <row r="86" spans="1:2" x14ac:dyDescent="0.3">
      <c r="A86" s="5" t="s">
        <v>72</v>
      </c>
      <c r="B86" s="12">
        <v>11</v>
      </c>
    </row>
    <row r="87" spans="1:2" x14ac:dyDescent="0.3">
      <c r="A87" s="5" t="s">
        <v>66</v>
      </c>
      <c r="B87" s="12">
        <v>12</v>
      </c>
    </row>
    <row r="88" spans="1:2" x14ac:dyDescent="0.3">
      <c r="A88" s="5" t="s">
        <v>71</v>
      </c>
      <c r="B88" s="12">
        <v>54</v>
      </c>
    </row>
    <row r="89" spans="1:2" x14ac:dyDescent="0.3">
      <c r="A89" s="5" t="s">
        <v>68</v>
      </c>
      <c r="B89" s="12">
        <v>87</v>
      </c>
    </row>
    <row r="90" spans="1:2" x14ac:dyDescent="0.3">
      <c r="A90" s="5" t="s">
        <v>70</v>
      </c>
      <c r="B90" s="12">
        <v>280</v>
      </c>
    </row>
    <row r="91" spans="1:2" x14ac:dyDescent="0.3">
      <c r="A91" s="5" t="s">
        <v>5</v>
      </c>
      <c r="B91" s="12">
        <v>464</v>
      </c>
    </row>
    <row r="95" spans="1:2" x14ac:dyDescent="0.3">
      <c r="A95" s="4" t="s">
        <v>4</v>
      </c>
    </row>
    <row r="96" spans="1:2" x14ac:dyDescent="0.3">
      <c r="A96" s="5" t="s">
        <v>75</v>
      </c>
    </row>
    <row r="97" spans="1:1" x14ac:dyDescent="0.3">
      <c r="A97" s="5" t="s">
        <v>5</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E715-392D-4E41-BC0D-4CCE8CEC9B59}">
  <dimension ref="A1:W29"/>
  <sheetViews>
    <sheetView tabSelected="1" workbookViewId="0">
      <selection activeCell="P25" sqref="P25"/>
    </sheetView>
  </sheetViews>
  <sheetFormatPr defaultRowHeight="14.4" x14ac:dyDescent="0.3"/>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3"/>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F22" s="17" t="s">
        <v>3</v>
      </c>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3"/>
      <c r="B27" s="3"/>
      <c r="C27" s="3"/>
      <c r="D27" s="3"/>
      <c r="E27" s="3"/>
      <c r="F27" s="3"/>
      <c r="G27" s="3"/>
      <c r="H27" s="3"/>
      <c r="I27" s="3"/>
      <c r="J27" s="3"/>
      <c r="K27" s="3"/>
      <c r="L27" s="3"/>
      <c r="M27" s="3"/>
      <c r="N27" s="3"/>
      <c r="O27" s="3"/>
      <c r="P27" s="3"/>
      <c r="Q27" s="3"/>
      <c r="R27" s="3"/>
      <c r="S27" s="3"/>
      <c r="T27" s="3"/>
      <c r="U27" s="3"/>
      <c r="V27" s="3"/>
      <c r="W27" s="3"/>
    </row>
    <row r="28" spans="1:23" x14ac:dyDescent="0.3">
      <c r="A28" s="3"/>
      <c r="B28" s="3"/>
      <c r="C28" s="3"/>
      <c r="D28" s="3"/>
      <c r="E28" s="3"/>
      <c r="F28" s="3"/>
      <c r="G28" s="3"/>
      <c r="H28" s="3"/>
      <c r="I28" s="3"/>
      <c r="J28" s="3"/>
      <c r="K28" s="3"/>
      <c r="L28" s="3"/>
      <c r="M28" s="3"/>
      <c r="N28" s="3"/>
      <c r="O28" s="3"/>
      <c r="P28" s="3"/>
      <c r="Q28" s="3"/>
      <c r="R28" s="3"/>
      <c r="S28" s="3"/>
      <c r="T28" s="3"/>
      <c r="U28" s="3"/>
      <c r="V28" s="3"/>
      <c r="W28" s="3"/>
    </row>
    <row r="29" spans="1:23" x14ac:dyDescent="0.3">
      <c r="A29" s="3"/>
      <c r="B29" s="3"/>
      <c r="C29" s="3"/>
      <c r="D29" s="3"/>
      <c r="E29" s="3"/>
      <c r="F29" s="3"/>
      <c r="G29" s="3"/>
      <c r="H29" s="3"/>
      <c r="I29" s="3"/>
      <c r="J29" s="3"/>
      <c r="K29" s="3"/>
      <c r="L29" s="3"/>
      <c r="M29" s="3"/>
      <c r="N29" s="3"/>
      <c r="O29" s="3"/>
      <c r="P29" s="3"/>
      <c r="Q29" s="3"/>
      <c r="R29" s="3"/>
      <c r="S29" s="3"/>
      <c r="T29" s="3"/>
      <c r="U29" s="3"/>
      <c r="V29" s="3"/>
      <c r="W29"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43C7-4E7D-47F8-9612-CE6DC730BBFC}">
  <dimension ref="A1:P35"/>
  <sheetViews>
    <sheetView workbookViewId="0"/>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ht="15.6" x14ac:dyDescent="0.3">
      <c r="A25" s="6"/>
      <c r="B25" s="6"/>
      <c r="C25" s="7" t="s">
        <v>6</v>
      </c>
      <c r="D25" s="7"/>
      <c r="E25" s="7"/>
      <c r="F25" s="8"/>
      <c r="G25" s="8"/>
      <c r="H25" s="8"/>
      <c r="I25" s="8"/>
      <c r="J25" s="8"/>
      <c r="K25" s="8"/>
      <c r="L25" s="8"/>
      <c r="M25" s="8"/>
      <c r="N25" s="8"/>
      <c r="O25" s="9"/>
      <c r="P25" s="9"/>
    </row>
    <row r="26" spans="1:16" x14ac:dyDescent="0.3">
      <c r="A26" s="6"/>
      <c r="B26" s="6"/>
      <c r="C26" s="6"/>
      <c r="D26" s="6"/>
      <c r="E26" s="6"/>
      <c r="F26" s="6"/>
      <c r="G26" s="6"/>
      <c r="H26" s="6"/>
      <c r="I26" s="6"/>
      <c r="J26" s="6"/>
      <c r="K26" s="6"/>
      <c r="L26" s="6"/>
      <c r="M26" s="6"/>
      <c r="N26" s="6"/>
      <c r="O26" s="6"/>
      <c r="P26" s="6"/>
    </row>
    <row r="27" spans="1:16" x14ac:dyDescent="0.3">
      <c r="A27" s="6"/>
      <c r="B27" s="6"/>
      <c r="C27" s="6"/>
      <c r="D27" s="6"/>
      <c r="E27" s="6"/>
      <c r="F27" s="6"/>
      <c r="G27" s="6"/>
      <c r="H27" s="6"/>
      <c r="I27" s="6"/>
      <c r="J27" s="6"/>
      <c r="K27" s="6"/>
      <c r="L27" s="6"/>
      <c r="M27" s="6"/>
      <c r="N27" s="6"/>
      <c r="O27" s="6"/>
      <c r="P27" s="6"/>
    </row>
    <row r="28" spans="1:16" x14ac:dyDescent="0.3">
      <c r="A28" s="6"/>
      <c r="B28" s="6"/>
      <c r="C28" s="6"/>
      <c r="D28" s="6"/>
      <c r="E28" s="6"/>
      <c r="F28" s="6"/>
      <c r="G28" s="6"/>
      <c r="H28" s="6"/>
      <c r="I28" s="6"/>
      <c r="J28" s="6"/>
      <c r="K28" s="6"/>
      <c r="L28" s="6"/>
      <c r="M28" s="6"/>
      <c r="N28" s="6"/>
      <c r="O28" s="6"/>
      <c r="P28" s="6"/>
    </row>
    <row r="29" spans="1:16" x14ac:dyDescent="0.3">
      <c r="A29" s="6"/>
      <c r="B29" s="6"/>
      <c r="C29" s="6"/>
      <c r="D29" s="6"/>
      <c r="E29" s="6"/>
      <c r="F29" s="6"/>
      <c r="G29" s="6"/>
      <c r="H29" s="6"/>
      <c r="I29" s="6"/>
      <c r="J29" s="6"/>
      <c r="K29" s="6"/>
      <c r="L29" s="6"/>
      <c r="M29" s="6"/>
      <c r="N29" s="6"/>
      <c r="O29" s="6"/>
      <c r="P29" s="6"/>
    </row>
    <row r="30" spans="1:16" x14ac:dyDescent="0.3">
      <c r="A30" s="6"/>
      <c r="B30" s="6"/>
      <c r="C30" s="6"/>
      <c r="D30" s="6"/>
      <c r="E30" s="6"/>
      <c r="F30" s="6"/>
      <c r="G30" s="6"/>
      <c r="H30" s="6"/>
      <c r="I30" s="6"/>
      <c r="J30" s="6"/>
      <c r="K30" s="6"/>
      <c r="L30" s="6"/>
      <c r="M30" s="6"/>
      <c r="N30" s="6"/>
      <c r="O30" s="6"/>
      <c r="P30" s="6"/>
    </row>
    <row r="31" spans="1:16" x14ac:dyDescent="0.3">
      <c r="A31" s="6"/>
      <c r="B31" s="6"/>
      <c r="C31" s="6"/>
      <c r="D31" s="6"/>
      <c r="E31" s="6"/>
      <c r="F31" s="6"/>
      <c r="G31" s="6"/>
      <c r="H31" s="6"/>
      <c r="I31" s="6"/>
      <c r="J31" s="6"/>
      <c r="K31" s="6"/>
      <c r="L31" s="6"/>
      <c r="M31" s="6"/>
      <c r="N31" s="6"/>
      <c r="O31" s="6"/>
      <c r="P31" s="6"/>
    </row>
    <row r="32" spans="1:16" x14ac:dyDescent="0.3">
      <c r="A32" s="6"/>
      <c r="B32" s="6"/>
      <c r="C32" s="6"/>
      <c r="D32" s="6"/>
      <c r="E32" s="6"/>
      <c r="F32" s="6"/>
      <c r="G32" s="6"/>
      <c r="H32" s="6"/>
      <c r="I32" s="6"/>
      <c r="J32" s="6"/>
      <c r="K32" s="6"/>
      <c r="L32" s="6"/>
      <c r="M32" s="6"/>
      <c r="N32" s="6"/>
      <c r="O32" s="6"/>
      <c r="P32" s="6"/>
    </row>
    <row r="33" spans="1:16" x14ac:dyDescent="0.3">
      <c r="A33" s="6"/>
      <c r="B33" s="6"/>
      <c r="C33" s="6"/>
      <c r="D33" s="6"/>
      <c r="E33" s="6"/>
      <c r="F33" s="6"/>
      <c r="G33" s="6"/>
      <c r="H33" s="6"/>
      <c r="I33" s="6"/>
      <c r="J33" s="6"/>
      <c r="K33" s="6"/>
      <c r="L33" s="6"/>
      <c r="M33" s="6"/>
      <c r="N33" s="6"/>
      <c r="O33" s="6"/>
      <c r="P33" s="6"/>
    </row>
    <row r="34" spans="1:16" x14ac:dyDescent="0.3">
      <c r="A34" s="6"/>
      <c r="B34" s="6"/>
      <c r="C34" s="6"/>
      <c r="D34" s="6"/>
      <c r="E34" s="6"/>
      <c r="F34" s="6"/>
      <c r="G34" s="6"/>
      <c r="H34" s="6"/>
      <c r="I34" s="6"/>
      <c r="J34" s="6"/>
      <c r="K34" s="6"/>
      <c r="L34" s="6"/>
      <c r="M34" s="6"/>
      <c r="N34" s="6"/>
      <c r="O34" s="6"/>
      <c r="P34" s="6"/>
    </row>
    <row r="35" spans="1:16" x14ac:dyDescent="0.3">
      <c r="A35" s="6"/>
      <c r="B35" s="6"/>
      <c r="C35" s="6"/>
      <c r="D35" s="6"/>
      <c r="E35" s="6"/>
      <c r="F35" s="6"/>
      <c r="G35" s="6"/>
      <c r="H35" s="6"/>
      <c r="I35" s="6"/>
      <c r="J35" s="6"/>
      <c r="K35" s="6"/>
      <c r="L35" s="6"/>
      <c r="M35" s="6"/>
      <c r="N35" s="6"/>
      <c r="O35" s="6"/>
      <c r="P35"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8A93C-A5B0-408F-82A0-E66997B7D15F}">
  <dimension ref="A1:R28"/>
  <sheetViews>
    <sheetView workbookViewId="0"/>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ht="15.6" x14ac:dyDescent="0.3">
      <c r="A24" s="6"/>
      <c r="B24" s="6"/>
      <c r="C24" s="11"/>
      <c r="D24" s="11"/>
      <c r="E24" s="11"/>
      <c r="F24" s="11"/>
      <c r="G24" s="11"/>
      <c r="H24" s="11"/>
      <c r="I24" s="11"/>
      <c r="J24" s="11"/>
      <c r="K24" s="11"/>
      <c r="L24" s="11"/>
      <c r="M24" s="11"/>
      <c r="N24" s="11"/>
      <c r="O24" s="6"/>
      <c r="P24" s="6"/>
      <c r="Q24" s="6"/>
      <c r="R24" s="6"/>
    </row>
    <row r="25" spans="1:18" ht="15.6" x14ac:dyDescent="0.3">
      <c r="A25" s="6"/>
      <c r="B25" s="11" t="s">
        <v>9</v>
      </c>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B28" s="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C6A17-66C8-4BF0-8E9A-017BED83363C}">
  <dimension ref="A1:R28"/>
  <sheetViews>
    <sheetView workbookViewId="0"/>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ht="15.6" x14ac:dyDescent="0.3">
      <c r="A24" s="6"/>
      <c r="B24" s="6"/>
      <c r="C24" s="11"/>
      <c r="D24" s="11"/>
      <c r="E24" s="11"/>
      <c r="F24" s="11"/>
      <c r="G24" s="11"/>
      <c r="H24" s="11"/>
      <c r="I24" s="11"/>
      <c r="J24" s="11"/>
      <c r="K24" s="11"/>
      <c r="L24" s="11"/>
      <c r="M24" s="11"/>
      <c r="N24" s="11"/>
      <c r="O24" s="6"/>
      <c r="P24" s="6"/>
      <c r="Q24" s="6"/>
      <c r="R24" s="6"/>
    </row>
    <row r="25" spans="1:18" ht="15.6" x14ac:dyDescent="0.3">
      <c r="A25" s="6"/>
      <c r="B25" s="11" t="s">
        <v>9</v>
      </c>
      <c r="C25" s="10"/>
      <c r="D25" s="10"/>
      <c r="E25" s="10" t="s">
        <v>41</v>
      </c>
      <c r="F25" s="10"/>
      <c r="G25" s="10"/>
      <c r="H25" s="10"/>
      <c r="I25" s="10"/>
      <c r="J25" s="10"/>
      <c r="K25" s="10"/>
      <c r="L25" s="10"/>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B28" s="6"/>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6A4CC480-390C-4CBD-9A0E-8C9D17A5C8C7}">
  <ds:schemaRefs/>
</ds:datastoreItem>
</file>

<file path=customXml/itemProps2.xml><?xml version="1.0" encoding="utf-8"?>
<ds:datastoreItem xmlns:ds="http://schemas.openxmlformats.org/officeDocument/2006/customXml" ds:itemID="{BE6B02F0-C543-4649-AC70-6D61293BB780}">
  <ds:schemaRefs>
    <ds:schemaRef ds:uri="http://schemas.microsoft.com/DataMashup"/>
  </ds:schemaRefs>
</ds:datastoreItem>
</file>

<file path=customXml/itemProps3.xml><?xml version="1.0" encoding="utf-8"?>
<ds:datastoreItem xmlns:ds="http://schemas.openxmlformats.org/officeDocument/2006/customXml" ds:itemID="{89D86D96-18A1-42E1-ACB6-A1238C87285F}">
  <ds:schemaRefs/>
</ds:datastoreItem>
</file>

<file path=customXml/itemProps4.xml><?xml version="1.0" encoding="utf-8"?>
<ds:datastoreItem xmlns:ds="http://schemas.openxmlformats.org/officeDocument/2006/customXml" ds:itemID="{9933A8D1-D100-4F1B-8A98-05569D48D299}">
  <ds:schemaRefs/>
</ds:datastoreItem>
</file>

<file path=customXml/itemProps5.xml><?xml version="1.0" encoding="utf-8"?>
<ds:datastoreItem xmlns:ds="http://schemas.openxmlformats.org/officeDocument/2006/customXml" ds:itemID="{D671FDE6-00FA-4594-A35F-E97E311F72B9}">
  <ds:schemaRefs/>
</ds:datastoreItem>
</file>

<file path=customXml/itemProps6.xml><?xml version="1.0" encoding="utf-8"?>
<ds:datastoreItem xmlns:ds="http://schemas.openxmlformats.org/officeDocument/2006/customXml" ds:itemID="{7ECC7C6C-3979-408F-8664-18160761EE8E}">
  <ds:schemaRefs/>
</ds:datastoreItem>
</file>

<file path=customXml/itemProps7.xml><?xml version="1.0" encoding="utf-8"?>
<ds:datastoreItem xmlns:ds="http://schemas.openxmlformats.org/officeDocument/2006/customXml" ds:itemID="{FE55E02C-1B7A-42DD-B72E-280DE4835452}">
  <ds:schemaRefs/>
</ds:datastoreItem>
</file>

<file path=customXml/itemProps8.xml><?xml version="1.0" encoding="utf-8"?>
<ds:datastoreItem xmlns:ds="http://schemas.openxmlformats.org/officeDocument/2006/customXml" ds:itemID="{B8A8965F-3D9C-4C7A-9019-DCD2BE9DC802}">
  <ds:schemaRefs/>
</ds:datastoreItem>
</file>

<file path=customXml/itemProps9.xml><?xml version="1.0" encoding="utf-8"?>
<ds:datastoreItem xmlns:ds="http://schemas.openxmlformats.org/officeDocument/2006/customXml" ds:itemID="{E32257EE-4D58-4A65-A2E8-62D0DB4AE6A7}">
  <ds:schemaRefs/>
</ds:datastoreItem>
</file>

<file path=customXml/itemProps10.xml><?xml version="1.0" encoding="utf-8"?>
<ds:datastoreItem xmlns:ds="http://schemas.openxmlformats.org/officeDocument/2006/customXml" ds:itemID="{EA3EC645-71A0-4828-804A-2E4907478EA1}">
  <ds:schemaRefs/>
</ds:datastoreItem>
</file>

<file path=customXml/itemProps11.xml><?xml version="1.0" encoding="utf-8"?>
<ds:datastoreItem xmlns:ds="http://schemas.openxmlformats.org/officeDocument/2006/customXml" ds:itemID="{3B0039C8-8183-4066-94F8-F0ADE493C6BF}">
  <ds:schemaRefs/>
</ds:datastoreItem>
</file>

<file path=customXml/itemProps12.xml><?xml version="1.0" encoding="utf-8"?>
<ds:datastoreItem xmlns:ds="http://schemas.openxmlformats.org/officeDocument/2006/customXml" ds:itemID="{E48FCA79-B14A-4386-BF16-A3D676CD582A}">
  <ds:schemaRefs/>
</ds:datastoreItem>
</file>

<file path=customXml/itemProps13.xml><?xml version="1.0" encoding="utf-8"?>
<ds:datastoreItem xmlns:ds="http://schemas.openxmlformats.org/officeDocument/2006/customXml" ds:itemID="{ABBDE19A-A8FD-47EB-9172-76273302FB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raqiqa Zafar</dc:creator>
  <cp:lastModifiedBy>raqiqa Zafar</cp:lastModifiedBy>
  <dcterms:created xsi:type="dcterms:W3CDTF">2026-06-21T08:43:30Z</dcterms:created>
  <dcterms:modified xsi:type="dcterms:W3CDTF">2026-06-27T07:26:12Z</dcterms:modified>
</cp:coreProperties>
</file>